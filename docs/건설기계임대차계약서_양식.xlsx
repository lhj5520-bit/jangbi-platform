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강토가온중기자료\"/>
    </mc:Choice>
  </mc:AlternateContent>
  <xr:revisionPtr revIDLastSave="0" documentId="8_{C8C9139D-0B91-4271-9249-49B5D35B486C}" xr6:coauthVersionLast="47" xr6:coauthVersionMax="47" xr10:uidLastSave="{00000000-0000-0000-0000-000000000000}"/>
  <bookViews>
    <workbookView xWindow="-120" yWindow="-120" windowWidth="29040" windowHeight="15720" activeTab="2" xr2:uid="{00000000-000D-0000-FFFF-FFFF00000000}"/>
  </bookViews>
  <sheets>
    <sheet name="현장" sheetId="5" r:id="rId1"/>
    <sheet name="임대인" sheetId="4" r:id="rId2"/>
    <sheet name="임대차계약서" sheetId="3" r:id="rId3"/>
    <sheet name="표준약관" sheetId="1" r:id="rId4"/>
  </sheets>
  <definedNames>
    <definedName name="_xlnm.Print_Area" localSheetId="1">임대인!$A$1:$S$18</definedName>
    <definedName name="_xlnm.Print_Area" localSheetId="2">임대차계약서!$A$1:$T$37</definedName>
    <definedName name="_xlnm.Print_Area" localSheetId="0">현장!$A$1:$H$16</definedName>
    <definedName name="성명">임대인!$B$6:$B$18</definedName>
    <definedName name="임대인정보">임대인!$B$6:$U$18</definedName>
    <definedName name="현장명">현장!$B$5:$B$13</definedName>
    <definedName name="현장정보">현장!$B$5:$H$13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 i="4" l="1"/>
  <c r="O6" i="4"/>
  <c r="E15" i="3"/>
  <c r="D27" i="3" l="1"/>
  <c r="F30" i="3" l="1"/>
  <c r="F13" i="3" l="1"/>
  <c r="F36" i="3"/>
  <c r="F35" i="3"/>
  <c r="N34" i="3"/>
  <c r="F34" i="3"/>
  <c r="L13" i="3"/>
  <c r="I13" i="3"/>
  <c r="H9" i="3"/>
  <c r="E9" i="3"/>
  <c r="B9" i="3"/>
  <c r="F32" i="3"/>
  <c r="N30" i="3"/>
  <c r="E16" i="3" l="1"/>
</calcChain>
</file>

<file path=xl/sharedStrings.xml><?xml version="1.0" encoding="utf-8"?>
<sst xmlns="http://schemas.openxmlformats.org/spreadsheetml/2006/main" count="135" uniqueCount="121">
  <si>
    <t>건설기계임대차 표준계약 일반조건</t>
  </si>
  <si>
    <t>건설기계명</t>
  </si>
  <si>
    <t>등록번호</t>
  </si>
  <si>
    <t>형 식</t>
  </si>
  <si>
    <t>정기검사 여부</t>
  </si>
  <si>
    <t>비고</t>
  </si>
  <si>
    <t>현 장 명</t>
  </si>
  <si>
    <t>현장 소재지</t>
  </si>
  <si>
    <t>표준약관 제10059호</t>
  </si>
  <si>
    <t>(2015.10.30. 개정)</t>
  </si>
  <si>
    <t>1. 목적물의 표시</t>
  </si>
  <si>
    <t>건설기계임대인과 건설기계임차인은 합의에 따라 붙임서류에 의하여 계약을 체결하고, 신의에 따라 성실히 계약상의 의무를 이행할 것을 확약하며, 이 계약의 증거로 계약서를 2통 작성하여 서명․날인 후 각 1부씩 보관한다.</t>
  </si>
  <si>
    <t>2. 건설기계임대차 계약 특수조건 1부(필요시)</t>
  </si>
  <si>
    <t>임대인 (건설기계 사업자)</t>
  </si>
  <si>
    <t>건설업자
(임차인)</t>
    <phoneticPr fontId="11" type="noConversion"/>
  </si>
  <si>
    <t>3.사용금액 :</t>
    <phoneticPr fontId="11" type="noConversion"/>
  </si>
  <si>
    <t>2.사용기간 :</t>
    <phoneticPr fontId="11" type="noConversion"/>
  </si>
  <si>
    <t>4.가동시간 :</t>
    <phoneticPr fontId="11" type="noConversion"/>
  </si>
  <si>
    <t>임대차 표준계약사항</t>
    <phoneticPr fontId="11" type="noConversion"/>
  </si>
  <si>
    <t>임차인</t>
    <phoneticPr fontId="11" type="noConversion"/>
  </si>
  <si>
    <t>현장명</t>
    <phoneticPr fontId="11" type="noConversion"/>
  </si>
  <si>
    <t>현장소재지</t>
    <phoneticPr fontId="11" type="noConversion"/>
  </si>
  <si>
    <t>발주자</t>
    <phoneticPr fontId="11" type="noConversion"/>
  </si>
  <si>
    <t>대표자</t>
    <phoneticPr fontId="11" type="noConversion"/>
  </si>
  <si>
    <t>상호</t>
    <phoneticPr fontId="11" type="noConversion"/>
  </si>
  <si>
    <t>주소</t>
    <phoneticPr fontId="11" type="noConversion"/>
  </si>
  <si>
    <t>임대인</t>
    <phoneticPr fontId="11" type="noConversion"/>
  </si>
  <si>
    <t>성 명</t>
    <phoneticPr fontId="11" type="noConversion"/>
  </si>
  <si>
    <t>등록번호</t>
    <phoneticPr fontId="11" type="noConversion"/>
  </si>
  <si>
    <t>형식</t>
    <phoneticPr fontId="11" type="noConversion"/>
  </si>
  <si>
    <t>보험가입현황</t>
    <phoneticPr fontId="11" type="noConversion"/>
  </si>
  <si>
    <t>정기검사</t>
    <phoneticPr fontId="11" type="noConversion"/>
  </si>
  <si>
    <t>사용기간</t>
    <phoneticPr fontId="11" type="noConversion"/>
  </si>
  <si>
    <t>임대료</t>
    <phoneticPr fontId="11" type="noConversion"/>
  </si>
  <si>
    <t>계약일</t>
    <phoneticPr fontId="11" type="noConversion"/>
  </si>
  <si>
    <t>시작일</t>
    <phoneticPr fontId="11" type="noConversion"/>
  </si>
  <si>
    <t>종료일</t>
    <phoneticPr fontId="11" type="noConversion"/>
  </si>
  <si>
    <t>일당</t>
    <phoneticPr fontId="11" type="noConversion"/>
  </si>
  <si>
    <t>총액</t>
    <phoneticPr fontId="11" type="noConversion"/>
  </si>
  <si>
    <t>(제6조 제2항이 적용되지않는 경우 적용)</t>
    <phoneticPr fontId="11" type="noConversion"/>
  </si>
  <si>
    <t>1일 8시간 기준, 월 200시간 기준</t>
    <phoneticPr fontId="11" type="noConversion"/>
  </si>
  <si>
    <t>5.지급시기 :</t>
    <phoneticPr fontId="11" type="noConversion"/>
  </si>
  <si>
    <t>1. 건설기계임대차 표준계약 일반조건 1부</t>
    <phoneticPr fontId="11" type="noConversion"/>
  </si>
  <si>
    <t>붙임서류 :</t>
    <phoneticPr fontId="11" type="noConversion"/>
  </si>
  <si>
    <t>성   명 :</t>
    <phoneticPr fontId="11" type="noConversion"/>
  </si>
  <si>
    <t>상   호 :</t>
    <phoneticPr fontId="11" type="noConversion"/>
  </si>
  <si>
    <t>주   소 :</t>
    <phoneticPr fontId="11" type="noConversion"/>
  </si>
  <si>
    <t>(인)</t>
    <phoneticPr fontId="11" type="noConversion"/>
  </si>
  <si>
    <t>사업자등록번호 :</t>
    <phoneticPr fontId="11" type="noConversion"/>
  </si>
  <si>
    <t>보험(공제)
가입현황</t>
    <phoneticPr fontId="11" type="noConversion"/>
  </si>
  <si>
    <t>발 주 자
(원수급인)</t>
    <phoneticPr fontId="11" type="noConversion"/>
  </si>
  <si>
    <t>건설기계
대여대금
지급보증 여부</t>
    <phoneticPr fontId="11" type="noConversion"/>
  </si>
  <si>
    <t xml:space="preserve">  가. 건설기계</t>
    <phoneticPr fontId="11" type="noConversion"/>
  </si>
  <si>
    <t xml:space="preserve">  나. 현 장</t>
    <phoneticPr fontId="11" type="noConversion"/>
  </si>
  <si>
    <t>현장관련 업체정보 현황</t>
    <phoneticPr fontId="11" type="noConversion"/>
  </si>
  <si>
    <t>현장</t>
    <phoneticPr fontId="11" type="noConversion"/>
  </si>
  <si>
    <t>건설
기계명</t>
    <phoneticPr fontId="11" type="noConversion"/>
  </si>
  <si>
    <t>사업자
등록번호</t>
    <phoneticPr fontId="11" type="noConversion"/>
  </si>
  <si>
    <t>사업자등록증사본</t>
    <phoneticPr fontId="11" type="noConversion"/>
  </si>
  <si>
    <t>건설기계등록증</t>
    <phoneticPr fontId="11" type="noConversion"/>
  </si>
  <si>
    <t>보험증권사본</t>
    <phoneticPr fontId="11" type="noConversion"/>
  </si>
  <si>
    <t>※첨부서류</t>
    <phoneticPr fontId="11" type="noConversion"/>
  </si>
  <si>
    <t>② “갑”의 귀책사유로 인해 제1항의 기준시간에 미달한 경우에는 연장작업을 제공하거나 대여대금에서 이를 공제하고, “을”의 귀책사유로 인해 제1항의 기준시간에 미달하는 경우에는 기준시간을 가동한 것으로 간주한다.</t>
  </si>
  <si>
    <t>③ 야간작업과 기준시간 초과 작업에 의한 시간당 대여대금은 주간작업에 의한 시간당 대여대금에 관련법령이 정한 시간당 건설기계 손료 및 건설기계조종사(조수 포함, 이하 같다) 임금을 다음의 산식에 적용하여 산출된 율을 곱하여 산정한 금액으로 하되, 별도 정산 처리한다. 다만, 야간작업시간에 대한 건설기계조종사의 인건비는 근로기준법 제56조 규정에 따른다.</t>
  </si>
  <si>
    <t>* 건설기계의 시간당 손료 : 실적공사비 및 표준품셈 관리규정(국토해양부 훈령)에 따라 산출</t>
  </si>
  <si>
    <t>* 건설기계 조종사 임금 : 통계법 제17조에 따라 대한건설협회가 발표</t>
  </si>
  <si>
    <t>④ 작업시간은 “갑”과 “을”이 서로 확인한 작업일보에 의한다.</t>
  </si>
  <si>
    <t>② 제1항의 규정에 의한 대여대금에는 건설기계조종사의 급여액, 기계손료(상각비, 정비비 및 관리비)가 포함된 금액으로 한다.</t>
  </si>
  <si>
    <t>③ 분해․조립비는 원칙적으로 “을”이 부담하되, 그 금액은 “갑”과 “을”이 합의하여 정한다. 다만, 제9조제2항, 제10조제2항에 규정된 갑의 책임있는 사유로 건설기계를 대체하거나 계약을 해지하는 경우에는 “갑”이 분해․조립비를 부담한다.</t>
  </si>
  <si>
    <t>④ 1개월 이상 임차하는 경우로서 사용기간 중 건설기계의 고장, 천재지변 등으로 1개월 중 5일 이상 가동하지 못하였을 경우 당월 대여대금에서 공제한다.</t>
  </si>
  <si>
    <t>② 건설기계조종사의 숙식제공, 소모품, 수선비 등 그 밖의 소요비용은 “갑”과 “을”이 합의하여 정한 바에 의한다.</t>
  </si>
  <si>
    <t>② “을”은 “을”에게 건설공사를 도급(하도급을 포함한다)한 자(이하 “병”이라 한다)로부터 준공금을 받은 때에는 대여대금을, 기성금을 받은 때에는 건설기계를 임차하여 시공한 분에 상당하는 대여대금을 각각 지급받은 날(공사대금을 어음으로 받은 때에는 그 어음만기일을 말한다)부터 15일 이내에 “갑”에게 현금으로 지급하여야 한다.</t>
  </si>
  <si>
    <t>③ “을”이 대여대금을 “갑”에게 지급하지 아니한 다음 각 호의 경우에는 “갑”은 “병”에게 대여대금의 직접지급을 요청할 수 있다.</t>
  </si>
  <si>
    <t>④ “병”은 다음 각 호의 경우에는 “갑”에게 대여대금을 직접 지급하여야 한다.</t>
  </si>
  <si>
    <t>⑤ 제2항 내지 제4항에서 규정한 사항 이외의 사항에 대해서는 건설산업기본법 제32조 제4항에 따른다.</t>
  </si>
  <si>
    <t>제7조(전대 및 사용목적 이외의 사용금지) ① “을”은 당해 건설기계를 임대차 목적 외로 사용하거나 타인에게 전대할 수 없다.</t>
  </si>
  <si>
    <t>② “갑”은 이 계약으로부터 발생하는 권리 또는 의무를 제3자에게 양도하거나 처분할 수 없다. 다만, 상대방의 서면에 의한 승낙을 받았을 때에는 그러하지 아니하다.</t>
  </si>
  <si>
    <t>② “갑”은 “을”의 요구가 있는 경우에는 건설기계등록증․보험(공제)가입증명서․건설기계조종사 면허증 등을 제시하여야 한다.</t>
  </si>
  <si>
    <t>③ “갑”은 건설기계가 관계법령에 의하여 의무적으로 보험[자동차보험(건설기계공제) 또는 산재보험]에 가입하여야 하거나 정기검사 대상 건설기계인 경우에는 그 사실을 증명할 수 있는 증빙서류를 “을”에게 제시하여야 한다.</t>
  </si>
  <si>
    <t>④ “갑”의 건설기계조종사는 “을”의 현장책임자의 지휘․감독에 따라 작업을 수행한다. 만일, “갑”의 건설기계조종사가 “을”의 현장책임자의 작업지시에 불응하거나 조종미숙, 태만으로 효율적 작업진행에 지장을 초래된다고 인정되어 “을”이 건설기계조종사 교체를 요구할 경우에는 “갑”은 “을”과 협의하여 교체하여야 한다.</t>
  </si>
  <si>
    <t>② “을”은 계약기간 중 “갑”의 건설기계가 정기검사 등에 해당하는 경우에는 “갑”이 그 검사 등을 받을 수 있도록 조치하여야 하며, “갑”은 검사기간이 1일을 초과하는 경우 계약조건과 동일한 장비로 대체하여 작업에 지장이 없도록 조치하여야 한다.</t>
  </si>
  <si>
    <t>② “을”은 “갑”의 건설기계가 5일 이상의 정비를 필요로 하는 경우 “갑”과 합의하여 계약을 해지할 수 있다. 다만, 동일한 건설기계를 대체하였을 경우에는 그러하지 아니한다.</t>
  </si>
  <si>
    <t>② 제1항의 합의가 성립하지 못할 때에는 당사자는 건설산업기본법에 의하여 설치된 건설분쟁조정위원회에 조정을 신청하거나 다른 법령에 의하여 설치된 중재기관에 중재를 요청할 수 있다.</t>
  </si>
  <si>
    <t>제1조</t>
    <phoneticPr fontId="11" type="noConversion"/>
  </si>
  <si>
    <t>(총 칙) 건설기계임대인(이하 “갑”이라 한다)과 건설기계임차인(이하 “을”이라 한다)은 대등한 입장에서 서로 협력하여 신의에 따라 성실히 계약을 이행한다.</t>
    <phoneticPr fontId="11" type="noConversion"/>
  </si>
  <si>
    <t>제2조</t>
    <phoneticPr fontId="11" type="noConversion"/>
  </si>
  <si>
    <t>(사용기간) 사용기간은 계약서에 명시된 일자로 한다. 다만, 사용기간을 연장하고자 하는 경우에는 “갑”과 “을”이 협의하여 연장할 수 있다.</t>
    <phoneticPr fontId="11" type="noConversion"/>
  </si>
  <si>
    <t>제3조</t>
    <phoneticPr fontId="11" type="noConversion"/>
  </si>
  <si>
    <t>(건설기계의 가동시간) ① 건설기계의 가동시간은 1일 8시간, 월 200시간을 기준으로 한다.</t>
    <phoneticPr fontId="11" type="noConversion"/>
  </si>
  <si>
    <t>제4조</t>
    <phoneticPr fontId="11" type="noConversion"/>
  </si>
  <si>
    <t>(대여대금 등) ① 대여대금은 계약서에 명시된 금액으로 한다.</t>
    <phoneticPr fontId="11" type="noConversion"/>
  </si>
  <si>
    <t>제5조</t>
    <phoneticPr fontId="11" type="noConversion"/>
  </si>
  <si>
    <t>(경비 등의 부담) ① 건설기계 가동에 필요한 유류비 및 운반비는 “을”이 부담하는 것을 원칙으로 하되, 기종별, 현장여건을 고려 “갑”과 “을”이 합의하여 정한다.</t>
    <phoneticPr fontId="11" type="noConversion"/>
  </si>
  <si>
    <t>제6조</t>
    <phoneticPr fontId="11" type="noConversion"/>
  </si>
  <si>
    <t xml:space="preserve">(대여대금 지불조건) ① “을”은 건설기계 대여기간이 1개월을 초과하는 경우에는 매월 종료하는 날부터, 대여기간이 1개월 이하인 경우에는 그 기간이 종료하는 날부터 각각 60일 이내의 가능한 짧은 기한으로 정한 지급기일까지 “갑”에게 대여대금을 지급하여야 한다. </t>
    <phoneticPr fontId="11" type="noConversion"/>
  </si>
  <si>
    <t>의2(건설기계 대여대금 지급보증) “을”은 건설산업기본법 시행규칙 제34조의4의 규정에 따라 건설기계 대여계약 금액(분할계약 시 합산)이 200만원을 초과할 경우 “갑”에게 그 대금의 지급을 보증하는 보증서를 주어야 한다.</t>
    <phoneticPr fontId="11" type="noConversion"/>
  </si>
  <si>
    <t>제7조</t>
    <phoneticPr fontId="11" type="noConversion"/>
  </si>
  <si>
    <t>제8조</t>
    <phoneticPr fontId="11" type="noConversion"/>
  </si>
  <si>
    <t>(“갑”의 권리와 의무) ① “갑”은 건설기계가 정상적으로 가동될 수 있도록 예방정비를 철저히 하여야 한다.</t>
    <phoneticPr fontId="11" type="noConversion"/>
  </si>
  <si>
    <t>제9조</t>
    <phoneticPr fontId="11" type="noConversion"/>
  </si>
  <si>
    <t>(“을”의 권리와 의무) ① “을”은 현장내 지하매설물, 지상위험물 등에 대하여 건설기계조종사에게 작업전 충분히 고지하여야 하며, 건설기계가 안전하게 작업을 진행할 수 있도록 하여야 한다.</t>
    <phoneticPr fontId="11" type="noConversion"/>
  </si>
  <si>
    <t>제10조</t>
    <phoneticPr fontId="11" type="noConversion"/>
  </si>
  <si>
    <t>(계약해제 및 해지) ① 당사자 일방이 계약조건을 위반하여 계약의 목적을 달성할 수 없다고 인정되는 경우에는 상대방은 서면으로 상당한 기간을 정하여 이행을 최고하고, 기한 내에 이행하지 아니하는 경우에는 계약을 해제 또는 해지할 수 있다.</t>
    <phoneticPr fontId="11" type="noConversion"/>
  </si>
  <si>
    <t>제11조</t>
    <phoneticPr fontId="11" type="noConversion"/>
  </si>
  <si>
    <t>(분쟁의 해결) ① 이 계약서에 별도로 규정된 것을 제외하고는 계약에서 발생하는 문제에 관한 분쟁은 “갑”과 “을”이 쌍방의 합의에 의하여 해결한다.</t>
    <phoneticPr fontId="11" type="noConversion"/>
  </si>
  <si>
    <t>제12조</t>
    <phoneticPr fontId="11" type="noConversion"/>
  </si>
  <si>
    <t>(기타) 본 계약서에 명시하지 않은 사항에 대하여는 일반 상관례 및 제반 법률규정에 따라 처리하기로 한다.</t>
    <phoneticPr fontId="11" type="noConversion"/>
  </si>
  <si>
    <t>제13조</t>
    <phoneticPr fontId="11" type="noConversion"/>
  </si>
  <si>
    <t>(특약사항) 기타 이 계약에서 정하지 아니한 사항에 대하여는 “갑”과 “을”이 합의하여 별도의 특약을 정할 수 있다</t>
    <phoneticPr fontId="11" type="noConversion"/>
  </si>
  <si>
    <t>“병”과 “을”이 대여대금을 “갑”에게 직접지급 할 수 있다는 뜻과 그 지급의 방법․절차를 명백히 하여 합의한 경우</t>
    <phoneticPr fontId="11" type="noConversion"/>
  </si>
  <si>
    <t>“갑”이 “을”을 상대로 “갑”이 시공한 분에 대한 대여대금의 지급을 명하는 확정 판결을 받은 경우</t>
    <phoneticPr fontId="11" type="noConversion"/>
  </si>
  <si>
    <t>국가․지방자체단체 또는 정부투자기관이 발주한 건설공사 중 “을”이 “갑”이 시공한 분의 대여대금을 1회 이상 지체한 경우</t>
    <phoneticPr fontId="11" type="noConversion"/>
  </si>
  <si>
    <t>“을”의 파산 등으로 인하여 “을”이 “갑”의 대여대금을 지급할 수 없는 명백한 사유가 있다고 “병”이 인정하는 경우</t>
    <phoneticPr fontId="11" type="noConversion"/>
  </si>
  <si>
    <t>“병”이 대여대금을 “갑”에게 직접 지급하기로 “갑”, “을” 및 “병”이 그 뜻과 지급의 방법․절차를 명백히 하여 합의한 경우</t>
    <phoneticPr fontId="11" type="noConversion"/>
  </si>
  <si>
    <t>“을”이 제2항의 규정에 의한 대여대금의 지급을 2회 이상 지체한 경우로서 “갑”이 “병”에게 대여대금의 직접지급을 요청한 경우</t>
    <phoneticPr fontId="11" type="noConversion"/>
  </si>
  <si>
    <t>“을”의 지급정지·파산 그 밖에 이와 유사한 사유가 있거나 건설업의 등록 등이 취소되어 “을”이 대여대금을 지급할 수 없게 된 경우로서 “갑”이 “병”에게 하도급대금의 직접지급을 요청한 경우</t>
    <phoneticPr fontId="11" type="noConversion"/>
  </si>
  <si>
    <t xml:space="preserve">             (시간당기계손료×8)+(건설기계조종사임금×1.5)
조정율 = -----------------------------------------------------
             (시간당기계손료×8)+(건설기계조종사임금×1.0)</t>
    <phoneticPr fontId="11" type="noConversion"/>
  </si>
  <si>
    <t xml:space="preserve">  </t>
    <phoneticPr fontId="11" type="noConversion"/>
  </si>
  <si>
    <t>여</t>
    <phoneticPr fontId="11" type="noConversion"/>
  </si>
  <si>
    <t>여</t>
  </si>
  <si>
    <t>건설기계임대차 표준계약서</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</si>
</sst>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_(* #,##0_);_(* \(#,##0\);_(* &quot;-&quot;_);_(@_)"/>
    <numFmt numFmtId="177" formatCode="yyyy\.mm\.dd\."/>
    <numFmt numFmtId="178" formatCode="&quot;  ㆍ대여기간이 1개월 초과하는 경우에는 매월 종료하는 날부터 (&quot;00&quot;)일 이내&quot;"/>
    <numFmt numFmtId="179" formatCode="&quot;  ㆍ대여기간이 1개월 이하인 경우에는 그 기간이 종료하는 날부터 (&quot;00&quot;)일 이내&quot;"/>
    <numFmt numFmtId="180" formatCode="#,##0;\-\ #,##0;&quot; &quot;;@"/>
    <numFmt numFmtId="181" formatCode="yyyy&quot;년   &quot;mm&quot;월   &quot;dd&quot;일&quot;;@"/>
    <numFmt numFmtId="182" formatCode="yyyy\.mm\.dd\~;;\ "/>
    <numFmt numFmtId="183" formatCode="0."/>
  </numFmts>
  <fonts count="22" x14ac:knownFonts="1">
    <font>
      <sz val="11"/>
      <color theme="1"/>
      <name val="맑은 고딕"/>
      <family val="2"/>
      <charset val="129"/>
      <scheme val="minor"/>
    </font>
    <font>
      <sz val="11"/>
      <color theme="1"/>
      <name val="맑은 고딕"/>
      <family val="2"/>
      <charset val="129"/>
      <scheme val="minor"/>
    </font>
    <font>
      <sz val="10"/>
      <color rgb="FF000000"/>
      <name val="맑은 고딕"/>
      <family val="3"/>
      <charset val="129"/>
      <scheme val="minor"/>
    </font>
    <font>
      <b/>
      <sz val="15"/>
      <color rgb="FF000000"/>
      <name val="맑은 고딕"/>
      <family val="3"/>
      <charset val="129"/>
      <scheme val="minor"/>
    </font>
    <font>
      <b/>
      <sz val="11"/>
      <color rgb="FF000000"/>
      <name val="굴림"/>
      <family val="3"/>
      <charset val="129"/>
    </font>
    <font>
      <sz val="10"/>
      <color rgb="FF000000"/>
      <name val="굴림"/>
      <family val="3"/>
      <charset val="129"/>
    </font>
    <font>
      <b/>
      <sz val="20"/>
      <color rgb="FF000000"/>
      <name val="굴림"/>
      <family val="3"/>
      <charset val="129"/>
    </font>
    <font>
      <sz val="12"/>
      <color rgb="FF000000"/>
      <name val="굴림"/>
      <family val="3"/>
      <charset val="129"/>
    </font>
    <font>
      <sz val="11"/>
      <color rgb="FF000000"/>
      <name val="굴림"/>
      <family val="3"/>
      <charset val="129"/>
    </font>
    <font>
      <sz val="9"/>
      <color rgb="FF000000"/>
      <name val="굴림"/>
      <family val="3"/>
      <charset val="129"/>
    </font>
    <font>
      <sz val="11"/>
      <color theme="1"/>
      <name val="굴림"/>
      <family val="3"/>
      <charset val="129"/>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
      <sz val="12"/>
      <color theme="1"/>
      <name val="맑은 고딕"/>
      <family val="2"/>
      <charset val="129"/>
      <scheme val="minor"/>
    </font>
    <font>
      <sz val="12"/>
      <name val="굴림"/>
      <family val="3"/>
      <charset val="129"/>
    </font>
    <font>
      <sz val="12"/>
      <color theme="1"/>
      <name val="굴림"/>
      <family val="3"/>
      <charset val="129"/>
    </font>
    <font>
      <b/>
      <sz val="16"/>
      <color theme="1"/>
      <name val="맑은 고딕"/>
      <family val="3"/>
      <charset val="129"/>
      <scheme val="minor"/>
    </font>
    <font>
      <sz val="8"/>
      <color rgb="FF000000"/>
      <name val="굴림"/>
      <family val="3"/>
      <charset val="129"/>
    </font>
    <font>
      <b/>
      <sz val="12"/>
      <color rgb="FF000000"/>
      <name val="굴림"/>
      <family val="3"/>
      <charset val="129"/>
    </font>
    <font>
      <sz val="10"/>
      <color rgb="FFFF0000"/>
      <name val="맑은 고딕"/>
      <family val="3"/>
      <charset val="129"/>
      <scheme val="minor"/>
    </font>
    <font>
      <sz val="8"/>
      <name val="굴림"/>
      <family val="3"/>
      <charset val="129"/>
    </font>
  </fonts>
  <fills count="3">
    <fill>
      <patternFill patternType="none"/>
    </fill>
    <fill>
      <patternFill patternType="gray125"/>
    </fill>
    <fill>
      <patternFill patternType="solid">
        <fgColor theme="0"/>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top style="thin">
        <color auto="1"/>
      </top>
      <bottom style="hair">
        <color auto="1"/>
      </bottom>
      <diagonal/>
    </border>
    <border>
      <left/>
      <right style="hair">
        <color auto="1"/>
      </right>
      <top style="thin">
        <color auto="1"/>
      </top>
      <bottom style="hair">
        <color auto="1"/>
      </bottom>
      <diagonal/>
    </border>
    <border>
      <left/>
      <right/>
      <top style="thin">
        <color auto="1"/>
      </top>
      <bottom style="hair">
        <color auto="1"/>
      </bottom>
      <diagonal/>
    </border>
    <border>
      <left style="hair">
        <color auto="1"/>
      </left>
      <right style="hair">
        <color auto="1"/>
      </right>
      <top/>
      <bottom style="hair">
        <color auto="1"/>
      </bottom>
      <diagonal/>
    </border>
    <border>
      <left style="thin">
        <color auto="1"/>
      </left>
      <right style="hair">
        <color auto="1"/>
      </right>
      <top/>
      <bottom style="hair">
        <color auto="1"/>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style="hair">
        <color auto="1"/>
      </left>
      <right style="thin">
        <color auto="1"/>
      </right>
      <top style="thin">
        <color auto="1"/>
      </top>
      <bottom/>
      <diagonal/>
    </border>
    <border>
      <left style="hair">
        <color auto="1"/>
      </left>
      <right style="thin">
        <color auto="1"/>
      </right>
      <top/>
      <bottom style="hair">
        <color auto="1"/>
      </bottom>
      <diagonal/>
    </border>
  </borders>
  <cellStyleXfs count="2">
    <xf numFmtId="0" fontId="0" fillId="0" borderId="0">
      <alignment vertical="center"/>
    </xf>
    <xf numFmtId="176" fontId="1" fillId="0" borderId="0" applyFont="0" applyFill="0" applyBorder="0" applyAlignment="0" applyProtection="0">
      <alignment vertical="center"/>
    </xf>
  </cellStyleXfs>
  <cellXfs count="138">
    <xf numFmtId="0" fontId="0" fillId="0" borderId="0" xfId="0">
      <alignment vertical="center"/>
    </xf>
    <xf numFmtId="0" fontId="0" fillId="0" borderId="0" xfId="0" applyAlignment="1">
      <alignment horizontal="center" vertical="center"/>
    </xf>
    <xf numFmtId="0" fontId="10" fillId="0" borderId="0" xfId="0" applyFont="1">
      <alignment vertical="center"/>
    </xf>
    <xf numFmtId="0" fontId="12" fillId="0" borderId="0" xfId="0" applyFont="1">
      <alignment vertical="center"/>
    </xf>
    <xf numFmtId="0" fontId="13" fillId="0" borderId="0" xfId="0" applyFont="1" applyAlignment="1">
      <alignment horizontal="center" vertical="center"/>
    </xf>
    <xf numFmtId="0" fontId="13" fillId="0" borderId="0" xfId="0" applyFont="1">
      <alignment vertical="center"/>
    </xf>
    <xf numFmtId="0" fontId="0" fillId="0" borderId="2" xfId="0" applyBorder="1">
      <alignment vertical="center"/>
    </xf>
    <xf numFmtId="0" fontId="5" fillId="0" borderId="3" xfId="0" applyFont="1" applyBorder="1" applyAlignment="1">
      <alignment vertical="top" wrapText="1"/>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5" fillId="0" borderId="0" xfId="0" applyFont="1" applyAlignment="1">
      <alignment vertical="top" wrapText="1"/>
    </xf>
    <xf numFmtId="0" fontId="4" fillId="0" borderId="0" xfId="0" applyFont="1" applyAlignment="1">
      <alignment vertical="top" wrapText="1"/>
    </xf>
    <xf numFmtId="0" fontId="12" fillId="0" borderId="5" xfId="0" applyFont="1" applyBorder="1">
      <alignment vertical="center"/>
    </xf>
    <xf numFmtId="0" fontId="12" fillId="0" borderId="6" xfId="0" applyFont="1" applyBorder="1">
      <alignment vertical="center"/>
    </xf>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0" fillId="0" borderId="7" xfId="0" applyBorder="1">
      <alignment vertical="center"/>
    </xf>
    <xf numFmtId="0" fontId="10" fillId="0" borderId="8" xfId="0" applyFont="1" applyBorder="1">
      <alignment vertical="center"/>
    </xf>
    <xf numFmtId="0" fontId="0" fillId="0" borderId="9" xfId="0" applyBorder="1">
      <alignment vertical="center"/>
    </xf>
    <xf numFmtId="0" fontId="8" fillId="0" borderId="0" xfId="0" applyFont="1" applyAlignment="1">
      <alignment vertical="center" wrapText="1"/>
    </xf>
    <xf numFmtId="0" fontId="7" fillId="0" borderId="0" xfId="0" applyFont="1" applyAlignment="1">
      <alignment vertical="center" wrapText="1"/>
    </xf>
    <xf numFmtId="0" fontId="7" fillId="0" borderId="0" xfId="0" applyFont="1" applyAlignment="1">
      <alignment horizontal="left" vertical="center" wrapText="1"/>
    </xf>
    <xf numFmtId="0" fontId="14" fillId="0" borderId="0" xfId="0" applyFont="1">
      <alignment vertical="center"/>
    </xf>
    <xf numFmtId="0" fontId="7" fillId="0" borderId="0" xfId="0" applyFont="1" applyAlignment="1">
      <alignment horizontal="justify" vertical="center" wrapText="1"/>
    </xf>
    <xf numFmtId="0" fontId="7" fillId="0" borderId="0" xfId="0" applyFont="1">
      <alignment vertical="center"/>
    </xf>
    <xf numFmtId="0" fontId="7" fillId="0" borderId="0" xfId="0" applyFont="1" applyAlignment="1">
      <alignment horizontal="justify" vertical="center"/>
    </xf>
    <xf numFmtId="0" fontId="16" fillId="0" borderId="0" xfId="0" applyFont="1">
      <alignment vertical="center"/>
    </xf>
    <xf numFmtId="0" fontId="4" fillId="0" borderId="8" xfId="0" applyFont="1" applyBorder="1" applyAlignment="1">
      <alignment vertical="top" wrapText="1"/>
    </xf>
    <xf numFmtId="0" fontId="12" fillId="0" borderId="2" xfId="0" applyFont="1" applyBorder="1">
      <alignment vertical="center"/>
    </xf>
    <xf numFmtId="0" fontId="5" fillId="0" borderId="3" xfId="0" applyFont="1" applyBorder="1" applyAlignment="1">
      <alignment horizontal="left" vertical="top" wrapText="1"/>
    </xf>
    <xf numFmtId="0" fontId="12" fillId="0" borderId="4" xfId="0" applyFont="1" applyBorder="1">
      <alignment vertical="center"/>
    </xf>
    <xf numFmtId="0" fontId="14" fillId="0" borderId="5" xfId="0" applyFont="1" applyBorder="1">
      <alignment vertical="center"/>
    </xf>
    <xf numFmtId="0" fontId="14" fillId="0" borderId="6" xfId="0" applyFont="1" applyBorder="1">
      <alignment vertical="center"/>
    </xf>
    <xf numFmtId="0" fontId="14" fillId="0" borderId="7" xfId="0" applyFont="1" applyBorder="1">
      <alignment vertical="center"/>
    </xf>
    <xf numFmtId="0" fontId="16" fillId="0" borderId="8" xfId="0" applyFont="1" applyBorder="1">
      <alignment vertical="center"/>
    </xf>
    <xf numFmtId="0" fontId="14" fillId="0" borderId="9" xfId="0" applyFont="1" applyBorder="1">
      <alignment vertical="center"/>
    </xf>
    <xf numFmtId="0" fontId="12" fillId="0" borderId="5" xfId="0" applyFont="1" applyBorder="1" applyAlignment="1">
      <alignment vertical="top"/>
    </xf>
    <xf numFmtId="0" fontId="12" fillId="0" borderId="6" xfId="0" applyFont="1" applyBorder="1" applyAlignment="1">
      <alignment vertical="top"/>
    </xf>
    <xf numFmtId="0" fontId="12" fillId="0" borderId="0" xfId="0" applyFont="1" applyAlignment="1">
      <alignment vertical="top"/>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14" xfId="0" applyFont="1" applyBorder="1" applyAlignment="1">
      <alignment horizontal="center" vertical="center"/>
    </xf>
    <xf numFmtId="0" fontId="13" fillId="0" borderId="19" xfId="0" applyFont="1" applyBorder="1" applyAlignment="1">
      <alignment horizontal="center" vertical="center"/>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177" fontId="13" fillId="0" borderId="19" xfId="0" applyNumberFormat="1" applyFont="1" applyBorder="1" applyAlignment="1">
      <alignment horizontal="center" vertical="center"/>
    </xf>
    <xf numFmtId="0" fontId="13" fillId="0" borderId="13" xfId="0" applyFont="1" applyBorder="1" applyAlignment="1">
      <alignment horizontal="center" vertical="center" wrapText="1"/>
    </xf>
    <xf numFmtId="0" fontId="17" fillId="0" borderId="0" xfId="0" applyFont="1">
      <alignment vertical="center"/>
    </xf>
    <xf numFmtId="0" fontId="2" fillId="0" borderId="0" xfId="0" applyFont="1" applyAlignment="1">
      <alignment horizontal="justify" vertical="top" wrapText="1"/>
    </xf>
    <xf numFmtId="0" fontId="12" fillId="0" borderId="0" xfId="0" applyFont="1" applyAlignment="1">
      <alignment horizontal="distributed" vertical="top"/>
    </xf>
    <xf numFmtId="183" fontId="12" fillId="0" borderId="0" xfId="0" quotePrefix="1" applyNumberFormat="1" applyFont="1" applyAlignment="1">
      <alignment horizontal="justify" vertical="top"/>
    </xf>
    <xf numFmtId="0" fontId="12" fillId="0" borderId="0" xfId="0" applyFont="1" applyAlignment="1">
      <alignment horizontal="justify" vertical="top"/>
    </xf>
    <xf numFmtId="0" fontId="13" fillId="0" borderId="18" xfId="0" applyFont="1" applyBorder="1" applyAlignment="1">
      <alignment horizontal="center" vertical="center" wrapText="1"/>
    </xf>
    <xf numFmtId="176" fontId="13" fillId="0" borderId="22" xfId="1" applyFont="1" applyBorder="1" applyAlignment="1">
      <alignment horizontal="center" vertical="center"/>
    </xf>
    <xf numFmtId="0" fontId="20" fillId="0" borderId="21" xfId="0" applyFont="1" applyBorder="1" applyAlignment="1">
      <alignment horizontal="center" vertical="center"/>
    </xf>
    <xf numFmtId="0" fontId="20" fillId="0" borderId="22" xfId="0" applyFont="1" applyBorder="1" applyAlignment="1">
      <alignment horizontal="center" vertical="center"/>
    </xf>
    <xf numFmtId="0" fontId="20" fillId="0" borderId="23" xfId="0" applyFont="1" applyBorder="1" applyAlignment="1">
      <alignment horizontal="center" vertical="center"/>
    </xf>
    <xf numFmtId="0" fontId="20" fillId="0" borderId="0" xfId="0" applyFont="1" applyAlignment="1">
      <alignment horizontal="center" vertical="center"/>
    </xf>
    <xf numFmtId="0" fontId="20" fillId="0" borderId="0" xfId="0" applyFont="1">
      <alignment vertical="center"/>
    </xf>
    <xf numFmtId="177" fontId="13" fillId="0" borderId="25" xfId="0" applyNumberFormat="1" applyFont="1" applyBorder="1" applyAlignment="1">
      <alignment horizontal="center"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5" fillId="0" borderId="0" xfId="0" applyFont="1" applyAlignment="1">
      <alignment horizontal="distributed" vertical="center" wrapText="1"/>
    </xf>
    <xf numFmtId="180" fontId="7" fillId="0" borderId="0" xfId="0" applyNumberFormat="1" applyFont="1" applyAlignment="1">
      <alignment horizontal="left" vertical="center" wrapText="1"/>
    </xf>
    <xf numFmtId="0" fontId="7" fillId="0" borderId="0" xfId="0" applyFont="1" applyAlignment="1">
      <alignment horizontal="distributed" vertical="center"/>
    </xf>
    <xf numFmtId="0" fontId="7" fillId="0" borderId="0" xfId="0" applyFont="1" applyAlignment="1">
      <alignment horizontal="left" vertical="center" wrapText="1"/>
    </xf>
    <xf numFmtId="180" fontId="7" fillId="0" borderId="0" xfId="0" applyNumberFormat="1" applyFont="1" applyAlignment="1">
      <alignment horizontal="distributed" vertical="center" wrapText="1"/>
    </xf>
    <xf numFmtId="0" fontId="19" fillId="0" borderId="0" xfId="0" applyFont="1" applyAlignment="1">
      <alignment horizontal="center" vertical="center" wrapText="1"/>
    </xf>
    <xf numFmtId="0" fontId="21" fillId="2" borderId="1" xfId="0" applyFont="1" applyFill="1" applyBorder="1" applyAlignment="1">
      <alignment horizontal="center" vertical="center" wrapText="1"/>
    </xf>
    <xf numFmtId="180" fontId="18" fillId="0" borderId="1" xfId="0" applyNumberFormat="1" applyFont="1" applyBorder="1" applyAlignment="1">
      <alignment horizontal="center" vertical="center" wrapText="1"/>
    </xf>
    <xf numFmtId="0" fontId="7" fillId="0" borderId="0" xfId="0" applyFont="1" applyAlignment="1">
      <alignment horizontal="left" vertical="distributed" wrapText="1"/>
    </xf>
    <xf numFmtId="0" fontId="8" fillId="0" borderId="0" xfId="0" applyFont="1" applyAlignment="1">
      <alignment horizontal="left" vertical="center" wrapText="1"/>
    </xf>
    <xf numFmtId="180" fontId="8" fillId="0" borderId="0" xfId="0" applyNumberFormat="1" applyFont="1" applyAlignment="1">
      <alignment horizontal="left" vertical="center" wrapText="1"/>
    </xf>
    <xf numFmtId="180" fontId="8" fillId="0" borderId="0" xfId="0" applyNumberFormat="1" applyFont="1" applyAlignment="1">
      <alignment horizontal="left" vertical="top" wrapText="1"/>
    </xf>
    <xf numFmtId="0" fontId="8" fillId="0" borderId="0" xfId="0" applyFont="1" applyAlignment="1">
      <alignment horizontal="left" vertical="top" wrapText="1"/>
    </xf>
    <xf numFmtId="0" fontId="8" fillId="0" borderId="0" xfId="0" applyFont="1" applyAlignment="1">
      <alignment horizontal="distributed" vertical="top" wrapText="1"/>
    </xf>
    <xf numFmtId="0" fontId="0" fillId="0" borderId="0" xfId="0" applyAlignment="1">
      <alignment vertical="top"/>
    </xf>
    <xf numFmtId="0" fontId="8" fillId="0" borderId="0" xfId="0" applyFont="1" applyAlignment="1">
      <alignment horizontal="distributed" vertical="center" wrapText="1"/>
    </xf>
    <xf numFmtId="0" fontId="15" fillId="2" borderId="0" xfId="0" applyFont="1" applyFill="1" applyAlignment="1">
      <alignment horizontal="distributed" vertical="center" wrapText="1"/>
    </xf>
    <xf numFmtId="181" fontId="7" fillId="0" borderId="0" xfId="0" applyNumberFormat="1" applyFont="1" applyAlignment="1">
      <alignment horizontal="right" vertical="center"/>
    </xf>
    <xf numFmtId="179" fontId="8" fillId="0" borderId="0" xfId="0" applyNumberFormat="1" applyFont="1" applyAlignment="1">
      <alignment horizontal="left" vertical="top" wrapText="1"/>
    </xf>
    <xf numFmtId="178" fontId="8" fillId="0" borderId="0" xfId="0" applyNumberFormat="1" applyFont="1" applyAlignment="1">
      <alignment horizontal="left" vertical="top" wrapText="1"/>
    </xf>
    <xf numFmtId="0" fontId="8" fillId="0" borderId="0" xfId="0" applyFont="1" applyAlignment="1">
      <alignment horizontal="distributed" vertical="top"/>
    </xf>
    <xf numFmtId="180" fontId="5"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 xfId="0" applyFont="1" applyBorder="1" applyAlignment="1">
      <alignment horizontal="center" vertical="center" wrapText="1"/>
    </xf>
    <xf numFmtId="182" fontId="5" fillId="0" borderId="2" xfId="0" applyNumberFormat="1" applyFont="1" applyBorder="1" applyAlignment="1">
      <alignment horizontal="center" vertical="center" wrapText="1"/>
    </xf>
    <xf numFmtId="182" fontId="5" fillId="0" borderId="3" xfId="0" applyNumberFormat="1" applyFont="1" applyBorder="1" applyAlignment="1">
      <alignment horizontal="center" vertical="center" wrapText="1"/>
    </xf>
    <xf numFmtId="182" fontId="5" fillId="0" borderId="4" xfId="0" applyNumberFormat="1" applyFont="1" applyBorder="1" applyAlignment="1">
      <alignment horizontal="center" vertical="center" wrapText="1"/>
    </xf>
    <xf numFmtId="182" fontId="5" fillId="0" borderId="7" xfId="0" applyNumberFormat="1" applyFont="1" applyBorder="1" applyAlignment="1">
      <alignment horizontal="center" vertical="center" wrapText="1"/>
    </xf>
    <xf numFmtId="182" fontId="5" fillId="0" borderId="8" xfId="0" applyNumberFormat="1" applyFont="1" applyBorder="1" applyAlignment="1">
      <alignment horizontal="center" vertical="center" wrapText="1"/>
    </xf>
    <xf numFmtId="182" fontId="5" fillId="0" borderId="9" xfId="0" applyNumberFormat="1" applyFont="1" applyBorder="1" applyAlignment="1">
      <alignment horizontal="center" vertical="center" wrapText="1"/>
    </xf>
    <xf numFmtId="180" fontId="9" fillId="0" borderId="1" xfId="0" applyNumberFormat="1" applyFont="1" applyBorder="1" applyAlignment="1">
      <alignment horizontal="center" vertical="center" wrapText="1"/>
    </xf>
    <xf numFmtId="180" fontId="5" fillId="0" borderId="10" xfId="0" applyNumberFormat="1" applyFont="1" applyBorder="1" applyAlignment="1">
      <alignment horizontal="center" vertical="center" wrapText="1"/>
    </xf>
    <xf numFmtId="180" fontId="5" fillId="0" borderId="11" xfId="0" applyNumberFormat="1" applyFont="1" applyBorder="1" applyAlignment="1">
      <alignment horizontal="center" vertical="center" wrapText="1"/>
    </xf>
    <xf numFmtId="0" fontId="4" fillId="0" borderId="8" xfId="0" applyFont="1" applyBorder="1" applyAlignment="1">
      <alignment horizontal="center" vertical="top" wrapText="1"/>
    </xf>
    <xf numFmtId="0" fontId="5" fillId="0" borderId="3" xfId="0" applyFont="1" applyBorder="1" applyAlignment="1">
      <alignment horizontal="center" vertical="top" wrapText="1"/>
    </xf>
    <xf numFmtId="0" fontId="5" fillId="0" borderId="0" xfId="0" applyFont="1" applyAlignment="1">
      <alignment horizontal="center" vertical="top" wrapText="1"/>
    </xf>
    <xf numFmtId="0" fontId="6" fillId="0" borderId="0" xfId="0" applyFont="1" applyAlignment="1">
      <alignment horizontal="center" vertical="center" wrapText="1"/>
    </xf>
    <xf numFmtId="0" fontId="4" fillId="0" borderId="0" xfId="0" applyFont="1" applyAlignment="1">
      <alignment horizontal="center" vertical="top" wrapText="1"/>
    </xf>
    <xf numFmtId="0" fontId="12" fillId="0" borderId="15" xfId="0" applyFont="1" applyBorder="1" applyAlignment="1">
      <alignment horizontal="center" vertical="center"/>
    </xf>
    <xf numFmtId="0" fontId="12" fillId="0" borderId="16" xfId="0" applyFont="1" applyBorder="1" applyAlignment="1">
      <alignment horizontal="center" vertical="center"/>
    </xf>
    <xf numFmtId="0" fontId="12" fillId="0" borderId="17" xfId="0" applyFont="1" applyBorder="1" applyAlignment="1">
      <alignment horizontal="center" vertical="center"/>
    </xf>
    <xf numFmtId="0" fontId="17" fillId="0" borderId="0" xfId="0" applyFont="1" applyAlignment="1">
      <alignment horizontal="center" vertical="center"/>
    </xf>
    <xf numFmtId="0" fontId="12" fillId="0" borderId="27" xfId="0" applyFont="1" applyBorder="1" applyAlignment="1">
      <alignment horizontal="center" vertical="center"/>
    </xf>
    <xf numFmtId="0" fontId="12" fillId="0" borderId="29" xfId="0" applyFont="1" applyBorder="1" applyAlignment="1">
      <alignment horizontal="center" vertical="center"/>
    </xf>
    <xf numFmtId="0" fontId="12" fillId="0" borderId="28" xfId="0" applyFont="1" applyBorder="1" applyAlignment="1">
      <alignment horizontal="center" vertical="center"/>
    </xf>
    <xf numFmtId="0" fontId="12" fillId="0" borderId="19" xfId="0" applyFont="1" applyBorder="1" applyAlignment="1">
      <alignment horizontal="center" vertical="center"/>
    </xf>
    <xf numFmtId="0" fontId="12" fillId="0" borderId="25" xfId="0" applyFont="1" applyBorder="1" applyAlignment="1">
      <alignment horizontal="center" vertical="center"/>
    </xf>
    <xf numFmtId="0" fontId="12" fillId="0" borderId="20" xfId="0" applyFont="1" applyBorder="1" applyAlignment="1">
      <alignment horizontal="center" vertical="center"/>
    </xf>
    <xf numFmtId="0" fontId="12" fillId="0" borderId="26" xfId="0" applyFont="1" applyBorder="1" applyAlignment="1">
      <alignment horizontal="center" vertical="center"/>
    </xf>
    <xf numFmtId="0" fontId="12" fillId="0" borderId="19" xfId="0" applyFont="1" applyBorder="1" applyAlignment="1">
      <alignment horizontal="center" vertical="center" wrapText="1"/>
    </xf>
    <xf numFmtId="0" fontId="12" fillId="0" borderId="18" xfId="0" applyFont="1" applyBorder="1" applyAlignment="1">
      <alignment horizontal="center" vertical="center"/>
    </xf>
    <xf numFmtId="0" fontId="12" fillId="0" borderId="24" xfId="0" applyFont="1" applyBorder="1" applyAlignment="1">
      <alignment horizontal="center" vertical="center"/>
    </xf>
    <xf numFmtId="0" fontId="2" fillId="0" borderId="0" xfId="0" applyFont="1" applyAlignment="1">
      <alignment horizontal="justify" vertical="top" wrapText="1"/>
    </xf>
    <xf numFmtId="0" fontId="3" fillId="0" borderId="0" xfId="0" applyFont="1" applyAlignment="1">
      <alignment horizontal="center" vertical="center"/>
    </xf>
    <xf numFmtId="0" fontId="13" fillId="0" borderId="26" xfId="0" applyFont="1" applyBorder="1" applyAlignment="1">
      <alignment horizontal="center" vertical="center"/>
    </xf>
    <xf numFmtId="0" fontId="13" fillId="0" borderId="32" xfId="0" applyFont="1" applyBorder="1" applyAlignment="1">
      <alignment horizontal="center" vertical="center"/>
    </xf>
    <xf numFmtId="0" fontId="13" fillId="0" borderId="33" xfId="0" applyFont="1" applyBorder="1" applyAlignment="1">
      <alignment horizontal="center" vertical="center"/>
    </xf>
    <xf numFmtId="177" fontId="13" fillId="0" borderId="33" xfId="0" applyNumberFormat="1" applyFont="1" applyBorder="1" applyAlignment="1">
      <alignment horizontal="center" vertical="center"/>
    </xf>
    <xf numFmtId="176" fontId="13" fillId="0" borderId="33" xfId="1" applyFont="1" applyBorder="1" applyAlignment="1">
      <alignment horizontal="center" vertical="center"/>
    </xf>
    <xf numFmtId="0" fontId="13" fillId="0" borderId="34" xfId="0" applyFont="1" applyBorder="1" applyAlignment="1">
      <alignment horizontal="center" vertical="center"/>
    </xf>
    <xf numFmtId="177" fontId="13" fillId="0" borderId="30" xfId="0" applyNumberFormat="1" applyFont="1" applyBorder="1" applyAlignment="1">
      <alignment horizontal="center" vertical="center"/>
    </xf>
    <xf numFmtId="0" fontId="13" fillId="0" borderId="35" xfId="0" applyFont="1" applyBorder="1" applyAlignment="1">
      <alignment horizontal="center" vertical="center"/>
    </xf>
    <xf numFmtId="177" fontId="13" fillId="0" borderId="22" xfId="0" applyNumberFormat="1" applyFont="1" applyBorder="1" applyAlignment="1">
      <alignment horizontal="center" vertical="center"/>
    </xf>
    <xf numFmtId="177" fontId="20" fillId="0" borderId="22" xfId="0" applyNumberFormat="1" applyFont="1" applyBorder="1" applyAlignment="1">
      <alignment horizontal="center" vertical="center"/>
    </xf>
    <xf numFmtId="176" fontId="20" fillId="0" borderId="22" xfId="1" applyFont="1" applyBorder="1" applyAlignment="1">
      <alignment horizontal="center" vertical="center"/>
    </xf>
  </cellXfs>
  <cellStyles count="2">
    <cellStyle name="쉼표 [0]" xfId="1" builtinId="6"/>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21</xdr:col>
      <xdr:colOff>295275</xdr:colOff>
      <xdr:row>7</xdr:row>
      <xdr:rowOff>76200</xdr:rowOff>
    </xdr:from>
    <xdr:to>
      <xdr:col>24</xdr:col>
      <xdr:colOff>257175</xdr:colOff>
      <xdr:row>11</xdr:row>
      <xdr:rowOff>228600</xdr:rowOff>
    </xdr:to>
    <xdr:sp macro="" textlink="">
      <xdr:nvSpPr>
        <xdr:cNvPr id="3" name="사각형 설명선 2">
          <a:extLst>
            <a:ext uri="{FF2B5EF4-FFF2-40B4-BE49-F238E27FC236}">
              <a16:creationId xmlns:a16="http://schemas.microsoft.com/office/drawing/2014/main" id="{00000000-0008-0000-0200-000003000000}"/>
            </a:ext>
          </a:extLst>
        </xdr:cNvPr>
        <xdr:cNvSpPr/>
      </xdr:nvSpPr>
      <xdr:spPr>
        <a:xfrm>
          <a:off x="7229475" y="1600200"/>
          <a:ext cx="2552700" cy="1219200"/>
        </a:xfrm>
        <a:prstGeom prst="wedgeRectCallout">
          <a:avLst>
            <a:gd name="adj1" fmla="val -39117"/>
            <a:gd name="adj2" fmla="val 8203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100"/>
            <a:t>현장시트와 임대인시트 자료입력후</a:t>
          </a:r>
          <a:endParaRPr lang="en-US" altLang="ko-KR" sz="1100"/>
        </a:p>
        <a:p>
          <a:pPr algn="ctr"/>
          <a:r>
            <a:rPr lang="ko-KR" altLang="en-US" sz="1100"/>
            <a:t>현장명의 목록과 임대인 성명 목록에서 선택하면 나머지는 자동입력됩니다</a:t>
          </a:r>
          <a:r>
            <a:rPr lang="en-US" altLang="ko-KR" sz="1100"/>
            <a:t>.</a:t>
          </a:r>
          <a:endParaRPr lang="ko-KR" altLang="en-US" sz="1100"/>
        </a:p>
      </xdr:txBody>
    </xdr:sp>
    <xdr:clientData/>
  </xdr:twoCellAnchor>
  <xdr:twoCellAnchor editAs="oneCell">
    <xdr:from>
      <xdr:col>14</xdr:col>
      <xdr:colOff>323850</xdr:colOff>
      <xdr:row>0</xdr:row>
      <xdr:rowOff>47625</xdr:rowOff>
    </xdr:from>
    <xdr:to>
      <xdr:col>17</xdr:col>
      <xdr:colOff>196046</xdr:colOff>
      <xdr:row>2</xdr:row>
      <xdr:rowOff>171450</xdr:rowOff>
    </xdr:to>
    <xdr:pic>
      <xdr:nvPicPr>
        <xdr:cNvPr id="4" name="그림 3" descr="BIN0001.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stretch>
          <a:fillRect/>
        </a:stretch>
      </xdr:blipFill>
      <xdr:spPr>
        <a:xfrm>
          <a:off x="4781550" y="47625"/>
          <a:ext cx="872321" cy="6953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H13"/>
  <sheetViews>
    <sheetView view="pageBreakPreview" zoomScale="115" zoomScaleNormal="100" zoomScaleSheetLayoutView="115" workbookViewId="0">
      <selection activeCell="K20" sqref="K20"/>
    </sheetView>
  </sheetViews>
  <sheetFormatPr defaultRowHeight="16.5" x14ac:dyDescent="0.3"/>
  <cols>
    <col min="1" max="1" width="8.625" style="1" customWidth="1"/>
    <col min="2" max="2" width="36.875" style="1" customWidth="1"/>
    <col min="3" max="3" width="20.625" style="1" customWidth="1"/>
    <col min="4" max="6" width="10.625" style="1" customWidth="1"/>
    <col min="7" max="7" width="12.625" style="1" customWidth="1"/>
    <col min="8" max="8" width="30.625" style="1" customWidth="1"/>
  </cols>
  <sheetData>
    <row r="1" spans="1:8" ht="26.25" x14ac:dyDescent="0.3">
      <c r="A1" s="114" t="s">
        <v>54</v>
      </c>
      <c r="B1" s="114"/>
      <c r="C1" s="114"/>
      <c r="D1" s="114"/>
      <c r="E1" s="114"/>
      <c r="F1" s="114"/>
      <c r="G1" s="114"/>
      <c r="H1" s="114"/>
    </row>
    <row r="3" spans="1:8" s="4" customFormat="1" ht="27" x14ac:dyDescent="0.3">
      <c r="A3" s="111" t="s">
        <v>55</v>
      </c>
      <c r="B3" s="41" t="s">
        <v>20</v>
      </c>
      <c r="C3" s="42" t="s">
        <v>21</v>
      </c>
      <c r="D3" s="42" t="s">
        <v>22</v>
      </c>
      <c r="E3" s="42" t="s">
        <v>23</v>
      </c>
      <c r="F3" s="42" t="s">
        <v>24</v>
      </c>
      <c r="G3" s="55" t="s">
        <v>57</v>
      </c>
      <c r="H3" s="43" t="s">
        <v>25</v>
      </c>
    </row>
    <row r="4" spans="1:8" s="4" customFormat="1" ht="13.5" x14ac:dyDescent="0.3">
      <c r="A4" s="112"/>
      <c r="B4" s="41">
        <v>1</v>
      </c>
      <c r="C4" s="42">
        <v>2</v>
      </c>
      <c r="D4" s="42">
        <v>3</v>
      </c>
      <c r="E4" s="42">
        <v>4</v>
      </c>
      <c r="F4" s="42">
        <v>5</v>
      </c>
      <c r="G4" s="42">
        <v>6</v>
      </c>
      <c r="H4" s="43">
        <v>7</v>
      </c>
    </row>
    <row r="5" spans="1:8" s="4" customFormat="1" ht="13.5" x14ac:dyDescent="0.3">
      <c r="A5" s="112"/>
      <c r="B5" s="61"/>
      <c r="C5" s="44"/>
      <c r="D5" s="44"/>
      <c r="E5" s="44"/>
      <c r="F5" s="44"/>
      <c r="G5" s="44"/>
      <c r="H5" s="45"/>
    </row>
    <row r="6" spans="1:8" s="4" customFormat="1" ht="13.5" x14ac:dyDescent="0.3">
      <c r="A6" s="112"/>
      <c r="B6" s="46"/>
      <c r="C6" s="47"/>
      <c r="D6" s="47"/>
      <c r="E6" s="47"/>
      <c r="F6" s="47"/>
      <c r="G6" s="47"/>
      <c r="H6" s="48"/>
    </row>
    <row r="7" spans="1:8" s="4" customFormat="1" ht="13.5" x14ac:dyDescent="0.3">
      <c r="A7" s="112"/>
      <c r="B7" s="46"/>
      <c r="C7" s="47"/>
      <c r="D7" s="47"/>
      <c r="E7" s="47"/>
      <c r="F7" s="47"/>
      <c r="G7" s="47"/>
      <c r="H7" s="48"/>
    </row>
    <row r="8" spans="1:8" s="4" customFormat="1" ht="13.5" x14ac:dyDescent="0.3">
      <c r="A8" s="112"/>
      <c r="B8" s="46"/>
      <c r="C8" s="47"/>
      <c r="D8" s="47"/>
      <c r="E8" s="47"/>
      <c r="F8" s="47"/>
      <c r="G8" s="47"/>
      <c r="H8" s="48"/>
    </row>
    <row r="9" spans="1:8" s="4" customFormat="1" ht="13.5" x14ac:dyDescent="0.3">
      <c r="A9" s="112"/>
      <c r="B9" s="46"/>
      <c r="C9" s="47"/>
      <c r="D9" s="47"/>
      <c r="E9" s="47"/>
      <c r="F9" s="47"/>
      <c r="G9" s="47"/>
      <c r="H9" s="48"/>
    </row>
    <row r="10" spans="1:8" s="4" customFormat="1" ht="13.5" x14ac:dyDescent="0.3">
      <c r="A10" s="112"/>
      <c r="B10" s="46"/>
      <c r="C10" s="47"/>
      <c r="D10" s="47"/>
      <c r="E10" s="47"/>
      <c r="F10" s="47"/>
      <c r="G10" s="47"/>
      <c r="H10" s="48"/>
    </row>
    <row r="11" spans="1:8" s="4" customFormat="1" ht="13.5" x14ac:dyDescent="0.3">
      <c r="A11" s="112"/>
      <c r="B11" s="46"/>
      <c r="C11" s="47"/>
      <c r="D11" s="47"/>
      <c r="E11" s="47"/>
      <c r="F11" s="47"/>
      <c r="G11" s="47"/>
      <c r="H11" s="48"/>
    </row>
    <row r="12" spans="1:8" s="4" customFormat="1" ht="13.5" x14ac:dyDescent="0.3">
      <c r="A12" s="112"/>
      <c r="B12" s="46"/>
      <c r="C12" s="47"/>
      <c r="D12" s="47"/>
      <c r="E12" s="47"/>
      <c r="F12" s="47"/>
      <c r="G12" s="47"/>
      <c r="H12" s="48"/>
    </row>
    <row r="13" spans="1:8" s="4" customFormat="1" ht="13.5" x14ac:dyDescent="0.3">
      <c r="A13" s="113"/>
      <c r="B13" s="49"/>
      <c r="C13" s="50"/>
      <c r="D13" s="50"/>
      <c r="E13" s="50"/>
      <c r="F13" s="50"/>
      <c r="G13" s="50"/>
      <c r="H13" s="127"/>
    </row>
  </sheetData>
  <mergeCells count="2">
    <mergeCell ref="A3:A13"/>
    <mergeCell ref="A1:H1"/>
  </mergeCells>
  <phoneticPr fontId="11" type="noConversion"/>
  <printOptions horizontalCentered="1"/>
  <pageMargins left="0.70866141732283472" right="0.70866141732283472" top="0.74803149606299213" bottom="0.74803149606299213" header="0.31496062992125984" footer="0.31496062992125984"/>
  <pageSetup paperSize="9" scale="8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U18"/>
  <sheetViews>
    <sheetView view="pageBreakPreview" zoomScale="115" zoomScaleNormal="85" zoomScaleSheetLayoutView="115" workbookViewId="0">
      <selection activeCell="D9" sqref="D9"/>
    </sheetView>
  </sheetViews>
  <sheetFormatPr defaultRowHeight="16.5" x14ac:dyDescent="0.3"/>
  <cols>
    <col min="1" max="1" width="8.625" style="1" customWidth="1"/>
    <col min="2" max="2" width="11.625" style="1" customWidth="1"/>
    <col min="3" max="3" width="8.625" style="1" customWidth="1"/>
    <col min="4" max="4" width="12.625" style="1" customWidth="1"/>
    <col min="5" max="5" width="8.625" style="1" customWidth="1"/>
    <col min="6" max="11" width="10.625" style="1" customWidth="1"/>
    <col min="12" max="12" width="32.25" style="1" customWidth="1"/>
    <col min="13" max="14" width="10.625" style="1" customWidth="1"/>
    <col min="15" max="15" width="10.75" style="1" customWidth="1"/>
    <col min="16" max="16" width="10.625" style="1" customWidth="1"/>
    <col min="17" max="17" width="15.625" style="1" customWidth="1"/>
    <col min="18" max="18" width="12.625" style="1" customWidth="1"/>
    <col min="19" max="19" width="30.625" style="1" customWidth="1"/>
    <col min="20" max="20" width="13.75" style="1" customWidth="1"/>
    <col min="21" max="21" width="32.875" style="1" customWidth="1"/>
  </cols>
  <sheetData>
    <row r="1" spans="1:21" ht="26.25" x14ac:dyDescent="0.3">
      <c r="A1" s="114" t="s">
        <v>18</v>
      </c>
      <c r="B1" s="114"/>
      <c r="C1" s="114"/>
      <c r="D1" s="114"/>
      <c r="E1" s="114"/>
      <c r="F1" s="114"/>
      <c r="G1" s="114"/>
      <c r="H1" s="114"/>
      <c r="I1" s="114"/>
      <c r="J1" s="114"/>
      <c r="K1" s="114"/>
      <c r="L1" s="114"/>
      <c r="M1" s="114"/>
      <c r="N1" s="114"/>
      <c r="O1" s="114"/>
      <c r="P1" s="114"/>
      <c r="Q1" s="114"/>
      <c r="R1" s="114"/>
      <c r="S1" s="114"/>
      <c r="T1" s="56"/>
      <c r="U1" s="56"/>
    </row>
    <row r="3" spans="1:21" s="5" customFormat="1" ht="16.5" customHeight="1" x14ac:dyDescent="0.3">
      <c r="A3" s="111" t="s">
        <v>26</v>
      </c>
      <c r="B3" s="123" t="s">
        <v>27</v>
      </c>
      <c r="C3" s="122" t="s">
        <v>56</v>
      </c>
      <c r="D3" s="118" t="s">
        <v>28</v>
      </c>
      <c r="E3" s="118" t="s">
        <v>29</v>
      </c>
      <c r="F3" s="118" t="s">
        <v>30</v>
      </c>
      <c r="G3" s="118"/>
      <c r="H3" s="118" t="s">
        <v>31</v>
      </c>
      <c r="I3" s="118"/>
      <c r="J3" s="115" t="s">
        <v>32</v>
      </c>
      <c r="K3" s="116"/>
      <c r="L3" s="117"/>
      <c r="M3" s="115" t="s">
        <v>33</v>
      </c>
      <c r="N3" s="116"/>
      <c r="O3" s="117"/>
      <c r="P3" s="118" t="s">
        <v>34</v>
      </c>
      <c r="Q3" s="118" t="s">
        <v>24</v>
      </c>
      <c r="R3" s="122" t="s">
        <v>57</v>
      </c>
      <c r="S3" s="120" t="s">
        <v>25</v>
      </c>
    </row>
    <row r="4" spans="1:21" s="5" customFormat="1" ht="13.5" x14ac:dyDescent="0.3">
      <c r="A4" s="112"/>
      <c r="B4" s="124"/>
      <c r="C4" s="119"/>
      <c r="D4" s="119"/>
      <c r="E4" s="119"/>
      <c r="F4" s="50" t="s">
        <v>35</v>
      </c>
      <c r="G4" s="50" t="s">
        <v>36</v>
      </c>
      <c r="H4" s="50" t="s">
        <v>35</v>
      </c>
      <c r="I4" s="50" t="s">
        <v>36</v>
      </c>
      <c r="J4" s="50" t="s">
        <v>35</v>
      </c>
      <c r="K4" s="50" t="s">
        <v>36</v>
      </c>
      <c r="L4" s="50"/>
      <c r="M4" s="50" t="s">
        <v>37</v>
      </c>
      <c r="N4" s="50" t="s">
        <v>38</v>
      </c>
      <c r="O4" s="50"/>
      <c r="P4" s="119"/>
      <c r="Q4" s="119"/>
      <c r="R4" s="119"/>
      <c r="S4" s="121"/>
    </row>
    <row r="5" spans="1:21" s="5" customFormat="1" hidden="1" x14ac:dyDescent="0.3">
      <c r="A5" s="112"/>
      <c r="B5" s="51">
        <v>1</v>
      </c>
      <c r="C5" s="52">
        <v>2</v>
      </c>
      <c r="D5" s="52">
        <v>3</v>
      </c>
      <c r="E5" s="52">
        <v>4</v>
      </c>
      <c r="F5" s="52">
        <v>5</v>
      </c>
      <c r="G5" s="52">
        <v>6</v>
      </c>
      <c r="H5" s="52">
        <v>7</v>
      </c>
      <c r="I5" s="52">
        <v>8</v>
      </c>
      <c r="J5" s="52">
        <v>9</v>
      </c>
      <c r="K5" s="52">
        <v>10</v>
      </c>
      <c r="L5" s="52">
        <v>11</v>
      </c>
      <c r="M5" s="52">
        <v>12</v>
      </c>
      <c r="N5" s="52">
        <v>13</v>
      </c>
      <c r="O5" s="52">
        <v>14</v>
      </c>
      <c r="P5" s="52">
        <v>15</v>
      </c>
      <c r="Q5" s="52">
        <v>16</v>
      </c>
      <c r="R5" s="52">
        <v>17</v>
      </c>
      <c r="S5" s="53">
        <v>18</v>
      </c>
    </row>
    <row r="6" spans="1:21" s="5" customFormat="1" ht="15.75" customHeight="1" x14ac:dyDescent="0.3">
      <c r="A6" s="112"/>
      <c r="B6" s="128"/>
      <c r="C6" s="129"/>
      <c r="D6" s="129"/>
      <c r="E6" s="129"/>
      <c r="F6" s="130"/>
      <c r="G6" s="130"/>
      <c r="H6" s="130"/>
      <c r="I6" s="130"/>
      <c r="J6" s="54">
        <v>45901</v>
      </c>
      <c r="K6" s="54">
        <v>46326</v>
      </c>
      <c r="L6" s="54" t="str">
        <f t="shared" ref="L6" si="0">TEXT(J6,"yyyy년  Mm월  Dd일부터")&amp;TEXT(K6,"yyyy년  Mm월  Dd일까지")</f>
        <v>2025년  09월  01일부터2026년  10월  31일까지</v>
      </c>
      <c r="M6" s="131"/>
      <c r="N6" s="131"/>
      <c r="O6" s="54" t="str">
        <f>TEXT(M6,"일당 금#,###원,총 금액 금")&amp;TEXT(N6,"#,###원(단, 대여거래 중 정산 요인이 발생한 경우 사후 정산, 부가가치세 포함)")</f>
        <v>일당 금원,총 금액 금원(단, 대여거래 중 정산 요인이 발생한 경우 사후 정산, 부가가치세 포함)</v>
      </c>
      <c r="P6" s="130"/>
      <c r="Q6" s="129"/>
      <c r="R6" s="129"/>
      <c r="S6" s="132"/>
    </row>
    <row r="7" spans="1:21" s="5" customFormat="1" ht="15.75" customHeight="1" x14ac:dyDescent="0.3">
      <c r="A7" s="112"/>
      <c r="B7" s="46"/>
      <c r="C7" s="47"/>
      <c r="D7" s="47"/>
      <c r="E7" s="47"/>
      <c r="F7" s="135"/>
      <c r="G7" s="135"/>
      <c r="H7" s="135"/>
      <c r="I7" s="135"/>
      <c r="J7" s="135"/>
      <c r="K7" s="135"/>
      <c r="L7" s="135"/>
      <c r="M7" s="62"/>
      <c r="N7" s="47"/>
      <c r="O7" s="135"/>
      <c r="P7" s="135"/>
      <c r="Q7" s="47"/>
      <c r="R7" s="47"/>
      <c r="S7" s="48"/>
    </row>
    <row r="8" spans="1:21" s="5" customFormat="1" ht="15.75" customHeight="1" x14ac:dyDescent="0.3">
      <c r="A8" s="112"/>
      <c r="B8" s="46"/>
      <c r="C8" s="47"/>
      <c r="D8" s="47"/>
      <c r="E8" s="47"/>
      <c r="F8" s="47"/>
      <c r="G8" s="47"/>
      <c r="H8" s="47"/>
      <c r="I8" s="47"/>
      <c r="J8" s="135"/>
      <c r="K8" s="135"/>
      <c r="L8" s="135"/>
      <c r="M8" s="62"/>
      <c r="N8" s="47"/>
      <c r="O8" s="135"/>
      <c r="P8" s="135"/>
      <c r="Q8" s="47"/>
      <c r="R8" s="47"/>
      <c r="S8" s="48"/>
    </row>
    <row r="9" spans="1:21" s="5" customFormat="1" ht="13.5" x14ac:dyDescent="0.3">
      <c r="A9" s="112"/>
      <c r="B9" s="46"/>
      <c r="C9" s="47"/>
      <c r="D9" s="47"/>
      <c r="E9" s="47"/>
      <c r="F9" s="135"/>
      <c r="G9" s="135"/>
      <c r="H9" s="135"/>
      <c r="I9" s="135"/>
      <c r="J9" s="135"/>
      <c r="K9" s="135"/>
      <c r="L9" s="135"/>
      <c r="M9" s="62"/>
      <c r="N9" s="47"/>
      <c r="O9" s="135"/>
      <c r="P9" s="135"/>
      <c r="Q9" s="47"/>
      <c r="R9" s="47"/>
      <c r="S9" s="48"/>
    </row>
    <row r="10" spans="1:21" s="5" customFormat="1" ht="13.5" x14ac:dyDescent="0.3">
      <c r="A10" s="112"/>
      <c r="B10" s="46"/>
      <c r="C10" s="47"/>
      <c r="D10" s="47"/>
      <c r="E10" s="47"/>
      <c r="F10" s="135"/>
      <c r="G10" s="135"/>
      <c r="H10" s="135"/>
      <c r="I10" s="135"/>
      <c r="J10" s="135"/>
      <c r="K10" s="135"/>
      <c r="L10" s="135"/>
      <c r="M10" s="62"/>
      <c r="N10" s="47"/>
      <c r="O10" s="135"/>
      <c r="P10" s="135"/>
      <c r="Q10" s="47"/>
      <c r="R10" s="47"/>
      <c r="S10" s="48"/>
    </row>
    <row r="11" spans="1:21" s="5" customFormat="1" ht="13.5" x14ac:dyDescent="0.3">
      <c r="A11" s="112"/>
      <c r="B11" s="46"/>
      <c r="C11" s="47"/>
      <c r="D11" s="47"/>
      <c r="E11" s="47"/>
      <c r="F11" s="135"/>
      <c r="G11" s="135"/>
      <c r="H11" s="135"/>
      <c r="I11" s="135"/>
      <c r="J11" s="135"/>
      <c r="K11" s="135"/>
      <c r="L11" s="135"/>
      <c r="M11" s="62"/>
      <c r="N11" s="62"/>
      <c r="O11" s="135"/>
      <c r="P11" s="135"/>
      <c r="Q11" s="47"/>
      <c r="R11" s="47"/>
      <c r="S11" s="48"/>
    </row>
    <row r="12" spans="1:21" s="67" customFormat="1" ht="13.5" x14ac:dyDescent="0.3">
      <c r="A12" s="112"/>
      <c r="B12" s="63"/>
      <c r="C12" s="64"/>
      <c r="D12" s="64"/>
      <c r="E12" s="64"/>
      <c r="F12" s="64"/>
      <c r="G12" s="64"/>
      <c r="H12" s="136"/>
      <c r="I12" s="136"/>
      <c r="J12" s="136"/>
      <c r="K12" s="136"/>
      <c r="L12" s="136"/>
      <c r="M12" s="137"/>
      <c r="N12" s="137"/>
      <c r="O12" s="136"/>
      <c r="P12" s="135"/>
      <c r="Q12" s="64"/>
      <c r="R12" s="64"/>
      <c r="S12" s="65"/>
      <c r="T12" s="66"/>
      <c r="U12" s="66"/>
    </row>
    <row r="13" spans="1:21" s="5" customFormat="1" ht="13.5" x14ac:dyDescent="0.3">
      <c r="A13" s="112"/>
      <c r="B13" s="46"/>
      <c r="C13" s="47"/>
      <c r="D13" s="47"/>
      <c r="E13" s="47"/>
      <c r="F13" s="47"/>
      <c r="G13" s="47"/>
      <c r="H13" s="47"/>
      <c r="I13" s="47"/>
      <c r="J13" s="135"/>
      <c r="K13" s="135"/>
      <c r="L13" s="135"/>
      <c r="M13" s="62"/>
      <c r="N13" s="62"/>
      <c r="O13" s="135"/>
      <c r="P13" s="135"/>
      <c r="Q13" s="47"/>
      <c r="R13" s="47"/>
      <c r="S13" s="48"/>
      <c r="T13" s="4"/>
      <c r="U13" s="4"/>
    </row>
    <row r="14" spans="1:21" s="5" customFormat="1" ht="13.5" x14ac:dyDescent="0.3">
      <c r="A14" s="112"/>
      <c r="B14" s="46"/>
      <c r="C14" s="47"/>
      <c r="D14" s="47"/>
      <c r="E14" s="47"/>
      <c r="F14" s="47"/>
      <c r="G14" s="47"/>
      <c r="H14" s="47"/>
      <c r="I14" s="47"/>
      <c r="J14" s="135"/>
      <c r="K14" s="135"/>
      <c r="L14" s="135"/>
      <c r="M14" s="62"/>
      <c r="N14" s="62"/>
      <c r="O14" s="135"/>
      <c r="P14" s="135"/>
      <c r="Q14" s="47"/>
      <c r="R14" s="47"/>
      <c r="S14" s="48"/>
      <c r="T14" s="4"/>
      <c r="U14" s="4"/>
    </row>
    <row r="15" spans="1:21" s="5" customFormat="1" ht="13.5" x14ac:dyDescent="0.3">
      <c r="A15" s="112"/>
      <c r="B15" s="46"/>
      <c r="C15" s="47"/>
      <c r="D15" s="47"/>
      <c r="E15" s="47"/>
      <c r="F15" s="135"/>
      <c r="G15" s="135"/>
      <c r="H15" s="135"/>
      <c r="I15" s="135"/>
      <c r="J15" s="135"/>
      <c r="K15" s="135"/>
      <c r="L15" s="135"/>
      <c r="M15" s="47"/>
      <c r="N15" s="62"/>
      <c r="O15" s="135"/>
      <c r="P15" s="135"/>
      <c r="Q15" s="47"/>
      <c r="R15" s="47"/>
      <c r="S15" s="48"/>
      <c r="T15" s="4"/>
      <c r="U15" s="4"/>
    </row>
    <row r="16" spans="1:21" s="5" customFormat="1" ht="13.5" x14ac:dyDescent="0.3">
      <c r="A16" s="112"/>
      <c r="B16" s="46"/>
      <c r="C16" s="47"/>
      <c r="D16" s="47"/>
      <c r="E16" s="47"/>
      <c r="F16" s="47"/>
      <c r="G16" s="47"/>
      <c r="H16" s="47"/>
      <c r="I16" s="47"/>
      <c r="J16" s="135"/>
      <c r="K16" s="135"/>
      <c r="L16" s="135"/>
      <c r="M16" s="47"/>
      <c r="N16" s="47"/>
      <c r="O16" s="135"/>
      <c r="P16" s="135"/>
      <c r="Q16" s="47"/>
      <c r="R16" s="47"/>
      <c r="S16" s="48"/>
      <c r="T16" s="4"/>
      <c r="U16" s="4"/>
    </row>
    <row r="17" spans="1:21" s="5" customFormat="1" ht="13.5" x14ac:dyDescent="0.3">
      <c r="A17" s="112"/>
      <c r="B17" s="70"/>
      <c r="C17" s="69"/>
      <c r="D17" s="69"/>
      <c r="E17" s="69"/>
      <c r="F17" s="69"/>
      <c r="G17" s="69"/>
      <c r="H17" s="69"/>
      <c r="I17" s="69"/>
      <c r="J17" s="133"/>
      <c r="K17" s="133"/>
      <c r="L17" s="133"/>
      <c r="M17" s="69"/>
      <c r="N17" s="69"/>
      <c r="O17" s="133"/>
      <c r="P17" s="133"/>
      <c r="Q17" s="70"/>
      <c r="R17" s="69"/>
      <c r="S17" s="134"/>
      <c r="T17" s="4"/>
      <c r="U17" s="4"/>
    </row>
    <row r="18" spans="1:21" s="5" customFormat="1" ht="13.5" x14ac:dyDescent="0.3">
      <c r="A18" s="113"/>
      <c r="B18" s="49"/>
      <c r="C18" s="50"/>
      <c r="D18" s="50"/>
      <c r="E18" s="50"/>
      <c r="F18" s="50"/>
      <c r="G18" s="50"/>
      <c r="H18" s="50"/>
      <c r="I18" s="50"/>
      <c r="J18" s="54"/>
      <c r="K18" s="54"/>
      <c r="L18" s="54"/>
      <c r="M18" s="50"/>
      <c r="N18" s="47"/>
      <c r="O18" s="54"/>
      <c r="P18" s="68"/>
      <c r="Q18" s="50"/>
      <c r="R18" s="50"/>
      <c r="S18" s="45"/>
      <c r="T18" s="4"/>
      <c r="U18" s="4"/>
    </row>
  </sheetData>
  <mergeCells count="14">
    <mergeCell ref="A3:A18"/>
    <mergeCell ref="J3:L3"/>
    <mergeCell ref="M3:O3"/>
    <mergeCell ref="A1:S1"/>
    <mergeCell ref="H3:I3"/>
    <mergeCell ref="P3:P4"/>
    <mergeCell ref="S3:S4"/>
    <mergeCell ref="R3:R4"/>
    <mergeCell ref="Q3:Q4"/>
    <mergeCell ref="F3:G3"/>
    <mergeCell ref="E3:E4"/>
    <mergeCell ref="D3:D4"/>
    <mergeCell ref="C3:C4"/>
    <mergeCell ref="B3:B4"/>
  </mergeCells>
  <phoneticPr fontId="11" type="noConversion"/>
  <printOptions horizontalCentered="1"/>
  <pageMargins left="0.70866141732283472" right="0.70866141732283472" top="0.74803149606299213" bottom="0.74803149606299213" header="0.31496062992125984" footer="0.31496062992125984"/>
  <pageSetup paperSize="9"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AA38"/>
  <sheetViews>
    <sheetView tabSelected="1" view="pageBreakPreview" topLeftCell="A12" zoomScaleNormal="100" zoomScaleSheetLayoutView="100" workbookViewId="0">
      <selection activeCell="W22" sqref="W22"/>
    </sheetView>
  </sheetViews>
  <sheetFormatPr defaultRowHeight="16.5" x14ac:dyDescent="0.3"/>
  <cols>
    <col min="1" max="1" width="1.625" customWidth="1"/>
    <col min="2" max="19" width="4.375" style="2" customWidth="1"/>
    <col min="20" max="20" width="1.625" customWidth="1"/>
    <col min="23" max="23" width="16" customWidth="1"/>
  </cols>
  <sheetData>
    <row r="1" spans="1:27" ht="15" customHeight="1" x14ac:dyDescent="0.3">
      <c r="A1" s="6"/>
      <c r="B1" s="7"/>
      <c r="C1" s="7"/>
      <c r="D1" s="7"/>
      <c r="E1" s="7"/>
      <c r="F1" s="7"/>
      <c r="G1" s="7"/>
      <c r="H1" s="7"/>
      <c r="I1" s="7"/>
      <c r="J1" s="7"/>
      <c r="K1" s="7"/>
      <c r="L1" s="7"/>
      <c r="M1" s="7"/>
      <c r="N1" s="7"/>
      <c r="O1" s="107"/>
      <c r="P1" s="107"/>
      <c r="Q1" s="107"/>
      <c r="R1" s="107"/>
      <c r="S1" s="107"/>
      <c r="T1" s="8"/>
    </row>
    <row r="2" spans="1:27" ht="30" customHeight="1" x14ac:dyDescent="0.3">
      <c r="A2" s="9"/>
      <c r="B2" s="109" t="s">
        <v>120</v>
      </c>
      <c r="C2" s="109"/>
      <c r="D2" s="109"/>
      <c r="E2" s="109"/>
      <c r="F2" s="109"/>
      <c r="G2" s="109"/>
      <c r="H2" s="109"/>
      <c r="I2" s="109"/>
      <c r="J2" s="109"/>
      <c r="K2" s="109"/>
      <c r="L2" s="109"/>
      <c r="M2" s="109"/>
      <c r="N2" s="109"/>
      <c r="O2" s="108"/>
      <c r="P2" s="108"/>
      <c r="Q2" s="108"/>
      <c r="R2" s="108"/>
      <c r="S2" s="108"/>
      <c r="T2" s="10"/>
    </row>
    <row r="3" spans="1:27" ht="15" customHeight="1" x14ac:dyDescent="0.3">
      <c r="A3" s="9"/>
      <c r="B3" s="11"/>
      <c r="C3" s="11"/>
      <c r="D3" s="11"/>
      <c r="E3" s="11"/>
      <c r="F3" s="11"/>
      <c r="G3" s="11"/>
      <c r="H3" s="11"/>
      <c r="I3" s="11"/>
      <c r="J3" s="11"/>
      <c r="K3" s="11"/>
      <c r="L3" s="11"/>
      <c r="M3" s="11"/>
      <c r="N3" s="11"/>
      <c r="O3" s="108"/>
      <c r="P3" s="108"/>
      <c r="Q3" s="108"/>
      <c r="R3" s="108"/>
      <c r="S3" s="108"/>
      <c r="T3" s="10"/>
    </row>
    <row r="4" spans="1:27" ht="15" customHeight="1" x14ac:dyDescent="0.3">
      <c r="A4" s="9"/>
      <c r="B4" s="12"/>
      <c r="C4" s="12"/>
      <c r="D4" s="12"/>
      <c r="E4" s="12"/>
      <c r="F4" s="12"/>
      <c r="G4" s="12"/>
      <c r="H4" s="12"/>
      <c r="I4" s="12"/>
      <c r="J4" s="12"/>
      <c r="K4" s="12"/>
      <c r="L4" s="12"/>
      <c r="M4" s="12"/>
      <c r="O4" s="110" t="s">
        <v>8</v>
      </c>
      <c r="P4" s="110"/>
      <c r="Q4" s="110"/>
      <c r="R4" s="110"/>
      <c r="S4" s="110"/>
      <c r="T4" s="10"/>
    </row>
    <row r="5" spans="1:27" ht="15" customHeight="1" x14ac:dyDescent="0.3">
      <c r="A5" s="18"/>
      <c r="B5" s="29"/>
      <c r="C5" s="29"/>
      <c r="D5" s="29"/>
      <c r="E5" s="29"/>
      <c r="F5" s="29"/>
      <c r="G5" s="29"/>
      <c r="H5" s="29"/>
      <c r="I5" s="29"/>
      <c r="J5" s="29"/>
      <c r="K5" s="29"/>
      <c r="L5" s="29"/>
      <c r="M5" s="29"/>
      <c r="N5" s="19"/>
      <c r="O5" s="106" t="s">
        <v>9</v>
      </c>
      <c r="P5" s="106"/>
      <c r="Q5" s="106"/>
      <c r="R5" s="106"/>
      <c r="S5" s="106"/>
      <c r="T5" s="20"/>
      <c r="V5" s="3" t="s">
        <v>61</v>
      </c>
      <c r="W5" s="3" t="s">
        <v>58</v>
      </c>
    </row>
    <row r="6" spans="1:27" s="3" customFormat="1" ht="15" customHeight="1" x14ac:dyDescent="0.3">
      <c r="A6" s="13"/>
      <c r="B6" s="80" t="s">
        <v>10</v>
      </c>
      <c r="C6" s="80"/>
      <c r="D6" s="80"/>
      <c r="E6" s="80"/>
      <c r="F6" s="80"/>
      <c r="G6" s="80"/>
      <c r="H6" s="80"/>
      <c r="I6" s="80"/>
      <c r="J6" s="80"/>
      <c r="K6" s="80"/>
      <c r="L6" s="80"/>
      <c r="M6" s="80"/>
      <c r="N6" s="80"/>
      <c r="O6" s="80"/>
      <c r="P6" s="80"/>
      <c r="Q6" s="80"/>
      <c r="R6" s="80"/>
      <c r="S6" s="80"/>
      <c r="T6" s="14"/>
      <c r="V6" s="5"/>
      <c r="W6" s="5" t="s">
        <v>59</v>
      </c>
    </row>
    <row r="7" spans="1:27" s="3" customFormat="1" ht="15" customHeight="1" x14ac:dyDescent="0.3">
      <c r="A7" s="13"/>
      <c r="B7" s="80" t="s">
        <v>52</v>
      </c>
      <c r="C7" s="80"/>
      <c r="D7" s="80"/>
      <c r="E7" s="80"/>
      <c r="F7" s="80"/>
      <c r="G7" s="80"/>
      <c r="H7" s="80"/>
      <c r="I7" s="80"/>
      <c r="J7" s="80"/>
      <c r="K7" s="80"/>
      <c r="L7" s="80"/>
      <c r="M7" s="80"/>
      <c r="N7" s="80"/>
      <c r="O7" s="80"/>
      <c r="P7" s="80"/>
      <c r="Q7" s="80"/>
      <c r="R7" s="80"/>
      <c r="S7" s="80"/>
      <c r="T7" s="14"/>
      <c r="V7" s="5"/>
      <c r="W7" s="5" t="s">
        <v>60</v>
      </c>
    </row>
    <row r="8" spans="1:27" s="3" customFormat="1" ht="30" customHeight="1" x14ac:dyDescent="0.3">
      <c r="A8" s="13"/>
      <c r="B8" s="93" t="s">
        <v>1</v>
      </c>
      <c r="C8" s="93"/>
      <c r="D8" s="93"/>
      <c r="E8" s="93" t="s">
        <v>2</v>
      </c>
      <c r="F8" s="93"/>
      <c r="G8" s="93"/>
      <c r="H8" s="93" t="s">
        <v>3</v>
      </c>
      <c r="I8" s="93"/>
      <c r="J8" s="93"/>
      <c r="K8" s="93" t="s">
        <v>49</v>
      </c>
      <c r="L8" s="93"/>
      <c r="M8" s="93"/>
      <c r="N8" s="93" t="s">
        <v>4</v>
      </c>
      <c r="O8" s="93"/>
      <c r="P8" s="93"/>
      <c r="Q8" s="93" t="s">
        <v>5</v>
      </c>
      <c r="R8" s="93"/>
      <c r="S8" s="93"/>
      <c r="T8" s="14"/>
    </row>
    <row r="9" spans="1:27" s="3" customFormat="1" ht="20.100000000000001" customHeight="1" x14ac:dyDescent="0.3">
      <c r="A9" s="13"/>
      <c r="B9" s="104" t="str">
        <f>IF(ISBLANK($F$31),"",VLOOKUP($F$31,임대인정보,임대인!C5,0))</f>
        <v/>
      </c>
      <c r="C9" s="104"/>
      <c r="D9" s="104"/>
      <c r="E9" s="104" t="str">
        <f>IF(ISBLANK($F$31),"",VLOOKUP($F$31,임대인정보,임대인!D5,0))</f>
        <v/>
      </c>
      <c r="F9" s="104"/>
      <c r="G9" s="104"/>
      <c r="H9" s="104" t="str">
        <f>IF(ISBLANK($F$31),"",VLOOKUP($F$31,임대인정보,임대인!E5,0))</f>
        <v/>
      </c>
      <c r="I9" s="104"/>
      <c r="J9" s="104"/>
      <c r="K9" s="97" t="s">
        <v>118</v>
      </c>
      <c r="L9" s="98"/>
      <c r="M9" s="99"/>
      <c r="N9" s="97" t="s">
        <v>119</v>
      </c>
      <c r="O9" s="98"/>
      <c r="P9" s="99"/>
      <c r="Q9" s="94"/>
      <c r="R9" s="94"/>
      <c r="S9" s="94"/>
      <c r="T9" s="14"/>
    </row>
    <row r="10" spans="1:27" s="3" customFormat="1" ht="20.100000000000001" customHeight="1" x14ac:dyDescent="0.3">
      <c r="A10" s="13"/>
      <c r="B10" s="105"/>
      <c r="C10" s="105"/>
      <c r="D10" s="105"/>
      <c r="E10" s="105"/>
      <c r="F10" s="105"/>
      <c r="G10" s="105"/>
      <c r="H10" s="105"/>
      <c r="I10" s="105"/>
      <c r="J10" s="105"/>
      <c r="K10" s="100"/>
      <c r="L10" s="101"/>
      <c r="M10" s="102"/>
      <c r="N10" s="100"/>
      <c r="O10" s="101"/>
      <c r="P10" s="102"/>
      <c r="Q10" s="95"/>
      <c r="R10" s="95"/>
      <c r="S10" s="95"/>
      <c r="T10" s="14"/>
    </row>
    <row r="11" spans="1:27" s="3" customFormat="1" ht="15" customHeight="1" x14ac:dyDescent="0.3">
      <c r="A11" s="13"/>
      <c r="B11" s="80" t="s">
        <v>53</v>
      </c>
      <c r="C11" s="80"/>
      <c r="D11" s="80"/>
      <c r="E11" s="80"/>
      <c r="F11" s="80"/>
      <c r="G11" s="80"/>
      <c r="H11" s="80"/>
      <c r="I11" s="80"/>
      <c r="J11" s="80"/>
      <c r="K11" s="80"/>
      <c r="L11" s="80"/>
      <c r="M11" s="80"/>
      <c r="N11" s="80"/>
      <c r="O11" s="80"/>
      <c r="P11" s="80"/>
      <c r="Q11" s="80"/>
      <c r="R11" s="80"/>
      <c r="S11" s="80"/>
      <c r="T11" s="14"/>
    </row>
    <row r="12" spans="1:27" s="3" customFormat="1" ht="45" customHeight="1" x14ac:dyDescent="0.3">
      <c r="A12" s="13"/>
      <c r="B12" s="93" t="s">
        <v>6</v>
      </c>
      <c r="C12" s="93"/>
      <c r="D12" s="93"/>
      <c r="E12" s="93"/>
      <c r="F12" s="93" t="s">
        <v>7</v>
      </c>
      <c r="G12" s="93"/>
      <c r="H12" s="93"/>
      <c r="I12" s="93" t="s">
        <v>50</v>
      </c>
      <c r="J12" s="93"/>
      <c r="K12" s="93"/>
      <c r="L12" s="93" t="s">
        <v>14</v>
      </c>
      <c r="M12" s="93"/>
      <c r="N12" s="93"/>
      <c r="O12" s="93" t="s">
        <v>51</v>
      </c>
      <c r="P12" s="93"/>
      <c r="Q12" s="93"/>
      <c r="R12" s="93" t="s">
        <v>5</v>
      </c>
      <c r="S12" s="93"/>
      <c r="T12" s="14"/>
    </row>
    <row r="13" spans="1:27" s="3" customFormat="1" ht="31.5" customHeight="1" x14ac:dyDescent="0.3">
      <c r="A13" s="13"/>
      <c r="B13" s="77"/>
      <c r="C13" s="77"/>
      <c r="D13" s="77"/>
      <c r="E13" s="77"/>
      <c r="F13" s="78" t="str">
        <f>IF(ISBLANK($B$13),"",VLOOKUP($B$13,현장정보,현장!C4,0))</f>
        <v/>
      </c>
      <c r="G13" s="78"/>
      <c r="H13" s="78"/>
      <c r="I13" s="103" t="str">
        <f>IF(ISBLANK($B$13),"",VLOOKUP($B$13,현장정보,현장!D4,0))</f>
        <v/>
      </c>
      <c r="J13" s="103"/>
      <c r="K13" s="103"/>
      <c r="L13" s="92" t="str">
        <f>IF(ISBLANK($B$13),"",VLOOKUP($B$13,현장정보,현장!F4,0))</f>
        <v/>
      </c>
      <c r="M13" s="92"/>
      <c r="N13" s="92"/>
      <c r="O13" s="96"/>
      <c r="P13" s="96"/>
      <c r="Q13" s="96"/>
      <c r="R13" s="96"/>
      <c r="S13" s="96"/>
      <c r="T13" s="14"/>
      <c r="AA13" s="3" t="s">
        <v>117</v>
      </c>
    </row>
    <row r="14" spans="1:27" s="3" customFormat="1" ht="5.0999999999999996" customHeight="1" x14ac:dyDescent="0.3">
      <c r="A14" s="13"/>
      <c r="B14" s="15"/>
      <c r="C14" s="15"/>
      <c r="D14" s="15"/>
      <c r="E14" s="15"/>
      <c r="F14" s="15"/>
      <c r="G14" s="15"/>
      <c r="H14" s="15"/>
      <c r="I14" s="15"/>
      <c r="J14" s="15"/>
      <c r="K14" s="15"/>
      <c r="L14" s="15"/>
      <c r="M14" s="15"/>
      <c r="N14" s="15"/>
      <c r="O14" s="15"/>
      <c r="P14" s="15"/>
      <c r="Q14" s="15"/>
      <c r="R14" s="15"/>
      <c r="S14" s="15"/>
      <c r="T14" s="14"/>
    </row>
    <row r="15" spans="1:27" s="40" customFormat="1" ht="15" customHeight="1" x14ac:dyDescent="0.3">
      <c r="A15" s="38"/>
      <c r="B15" s="84" t="s">
        <v>16</v>
      </c>
      <c r="C15" s="85"/>
      <c r="D15" s="85"/>
      <c r="E15" s="81" t="str">
        <f>IF(ISBLANK($F$31),"",VLOOKUP($F$31,임대인정보,임대인!L5,0))</f>
        <v/>
      </c>
      <c r="F15" s="81"/>
      <c r="G15" s="81"/>
      <c r="H15" s="81"/>
      <c r="I15" s="81"/>
      <c r="J15" s="81"/>
      <c r="K15" s="81"/>
      <c r="L15" s="81"/>
      <c r="M15" s="81"/>
      <c r="N15" s="81"/>
      <c r="O15" s="81"/>
      <c r="P15" s="81"/>
      <c r="Q15" s="81"/>
      <c r="R15" s="81"/>
      <c r="S15" s="81"/>
      <c r="T15" s="39"/>
    </row>
    <row r="16" spans="1:27" s="40" customFormat="1" ht="27" customHeight="1" x14ac:dyDescent="0.3">
      <c r="A16" s="38"/>
      <c r="B16" s="84" t="s">
        <v>15</v>
      </c>
      <c r="C16" s="84"/>
      <c r="D16" s="84"/>
      <c r="E16" s="82" t="str">
        <f>IF(ISBLANK($F$31),"",VLOOKUP($F$31,임대인정보,임대인!O5,0))</f>
        <v/>
      </c>
      <c r="F16" s="82"/>
      <c r="G16" s="82"/>
      <c r="H16" s="82"/>
      <c r="I16" s="82"/>
      <c r="J16" s="82"/>
      <c r="K16" s="82"/>
      <c r="L16" s="82"/>
      <c r="M16" s="82"/>
      <c r="N16" s="82"/>
      <c r="O16" s="82"/>
      <c r="P16" s="82"/>
      <c r="Q16" s="82"/>
      <c r="R16" s="82"/>
      <c r="S16" s="82"/>
      <c r="T16" s="39"/>
    </row>
    <row r="17" spans="1:20" s="40" customFormat="1" ht="15" customHeight="1" x14ac:dyDescent="0.3">
      <c r="A17" s="38"/>
      <c r="B17" s="84" t="s">
        <v>17</v>
      </c>
      <c r="C17" s="84"/>
      <c r="D17" s="84"/>
      <c r="E17" s="83" t="s">
        <v>40</v>
      </c>
      <c r="F17" s="83"/>
      <c r="G17" s="83"/>
      <c r="H17" s="83"/>
      <c r="I17" s="83"/>
      <c r="J17" s="83"/>
      <c r="K17" s="83"/>
      <c r="L17" s="83"/>
      <c r="M17" s="83"/>
      <c r="N17" s="83"/>
      <c r="O17" s="83"/>
      <c r="P17" s="83"/>
      <c r="Q17" s="83"/>
      <c r="R17" s="83"/>
      <c r="S17" s="83"/>
      <c r="T17" s="39"/>
    </row>
    <row r="18" spans="1:20" s="40" customFormat="1" ht="15" customHeight="1" x14ac:dyDescent="0.3">
      <c r="A18" s="38"/>
      <c r="B18" s="91" t="s">
        <v>41</v>
      </c>
      <c r="C18" s="91"/>
      <c r="D18" s="91"/>
      <c r="E18" s="83" t="s">
        <v>39</v>
      </c>
      <c r="F18" s="83"/>
      <c r="G18" s="83"/>
      <c r="H18" s="83"/>
      <c r="I18" s="83"/>
      <c r="J18" s="83"/>
      <c r="K18" s="83"/>
      <c r="L18" s="83"/>
      <c r="M18" s="83"/>
      <c r="N18" s="83"/>
      <c r="O18" s="83"/>
      <c r="P18" s="83"/>
      <c r="Q18" s="83"/>
      <c r="R18" s="83"/>
      <c r="S18" s="83"/>
      <c r="T18" s="39"/>
    </row>
    <row r="19" spans="1:20" s="40" customFormat="1" ht="15" customHeight="1" x14ac:dyDescent="0.3">
      <c r="A19" s="38"/>
      <c r="B19" s="90">
        <v>30</v>
      </c>
      <c r="C19" s="90"/>
      <c r="D19" s="90"/>
      <c r="E19" s="90"/>
      <c r="F19" s="90"/>
      <c r="G19" s="90"/>
      <c r="H19" s="90"/>
      <c r="I19" s="90"/>
      <c r="J19" s="90"/>
      <c r="K19" s="90"/>
      <c r="L19" s="90"/>
      <c r="M19" s="90"/>
      <c r="N19" s="90"/>
      <c r="O19" s="90"/>
      <c r="P19" s="90"/>
      <c r="Q19" s="90"/>
      <c r="R19" s="90"/>
      <c r="S19" s="90"/>
      <c r="T19" s="39"/>
    </row>
    <row r="20" spans="1:20" s="40" customFormat="1" ht="15" customHeight="1" x14ac:dyDescent="0.3">
      <c r="A20" s="38"/>
      <c r="B20" s="89">
        <v>60</v>
      </c>
      <c r="C20" s="89"/>
      <c r="D20" s="89"/>
      <c r="E20" s="89"/>
      <c r="F20" s="89"/>
      <c r="G20" s="89"/>
      <c r="H20" s="89"/>
      <c r="I20" s="89"/>
      <c r="J20" s="89"/>
      <c r="K20" s="89"/>
      <c r="L20" s="89"/>
      <c r="M20" s="89"/>
      <c r="N20" s="89"/>
      <c r="O20" s="89"/>
      <c r="P20" s="89"/>
      <c r="Q20" s="89"/>
      <c r="R20" s="89"/>
      <c r="S20" s="89"/>
      <c r="T20" s="39"/>
    </row>
    <row r="21" spans="1:20" s="3" customFormat="1" ht="9.9499999999999993" customHeight="1" x14ac:dyDescent="0.3">
      <c r="A21" s="30"/>
      <c r="B21" s="31"/>
      <c r="C21" s="31"/>
      <c r="D21" s="31"/>
      <c r="E21" s="31"/>
      <c r="F21" s="31"/>
      <c r="G21" s="31"/>
      <c r="H21" s="31"/>
      <c r="I21" s="31"/>
      <c r="J21" s="31"/>
      <c r="K21" s="31"/>
      <c r="L21" s="31"/>
      <c r="M21" s="31"/>
      <c r="N21" s="31"/>
      <c r="O21" s="31"/>
      <c r="P21" s="31"/>
      <c r="Q21" s="31"/>
      <c r="R21" s="31"/>
      <c r="S21" s="31"/>
      <c r="T21" s="32"/>
    </row>
    <row r="22" spans="1:20" s="3" customFormat="1" ht="50.1" customHeight="1" x14ac:dyDescent="0.3">
      <c r="A22" s="13"/>
      <c r="B22" s="16"/>
      <c r="C22" s="79" t="s">
        <v>11</v>
      </c>
      <c r="D22" s="79"/>
      <c r="E22" s="79"/>
      <c r="F22" s="79"/>
      <c r="G22" s="79"/>
      <c r="H22" s="79"/>
      <c r="I22" s="79"/>
      <c r="J22" s="79"/>
      <c r="K22" s="79"/>
      <c r="L22" s="79"/>
      <c r="M22" s="79"/>
      <c r="N22" s="79"/>
      <c r="O22" s="79"/>
      <c r="P22" s="79"/>
      <c r="Q22" s="79"/>
      <c r="R22" s="79"/>
      <c r="S22" s="16"/>
      <c r="T22" s="14"/>
    </row>
    <row r="23" spans="1:20" s="3" customFormat="1" ht="9.9499999999999993" customHeight="1" x14ac:dyDescent="0.3">
      <c r="A23" s="13"/>
      <c r="B23" s="16"/>
      <c r="C23" s="17"/>
      <c r="D23" s="17"/>
      <c r="E23" s="17"/>
      <c r="F23" s="17"/>
      <c r="G23" s="17"/>
      <c r="H23" s="17"/>
      <c r="I23" s="17"/>
      <c r="J23" s="17"/>
      <c r="K23" s="17"/>
      <c r="L23" s="17"/>
      <c r="M23" s="17"/>
      <c r="N23" s="17"/>
      <c r="O23" s="17"/>
      <c r="P23" s="17"/>
      <c r="Q23" s="17"/>
      <c r="R23" s="17"/>
      <c r="S23" s="16"/>
      <c r="T23" s="14"/>
    </row>
    <row r="24" spans="1:20" s="3" customFormat="1" ht="15" customHeight="1" x14ac:dyDescent="0.3">
      <c r="A24" s="13"/>
      <c r="B24" s="86" t="s">
        <v>43</v>
      </c>
      <c r="C24" s="86"/>
      <c r="D24" s="86"/>
      <c r="E24" s="80" t="s">
        <v>42</v>
      </c>
      <c r="F24" s="80"/>
      <c r="G24" s="80"/>
      <c r="H24" s="80"/>
      <c r="I24" s="80"/>
      <c r="J24" s="80"/>
      <c r="K24" s="80"/>
      <c r="L24" s="80"/>
      <c r="M24" s="80"/>
      <c r="N24" s="80"/>
      <c r="O24" s="80"/>
      <c r="P24" s="80"/>
      <c r="Q24" s="80"/>
      <c r="R24" s="80"/>
      <c r="S24" s="80"/>
      <c r="T24" s="14"/>
    </row>
    <row r="25" spans="1:20" s="3" customFormat="1" ht="15" customHeight="1" x14ac:dyDescent="0.3">
      <c r="A25" s="13"/>
      <c r="B25" s="21"/>
      <c r="C25" s="21"/>
      <c r="D25" s="21"/>
      <c r="E25" s="80" t="s">
        <v>12</v>
      </c>
      <c r="F25" s="80"/>
      <c r="G25" s="80"/>
      <c r="H25" s="80"/>
      <c r="I25" s="80"/>
      <c r="J25" s="80"/>
      <c r="K25" s="80"/>
      <c r="L25" s="80"/>
      <c r="M25" s="80"/>
      <c r="N25" s="80"/>
      <c r="O25" s="80"/>
      <c r="P25" s="80"/>
      <c r="Q25" s="80"/>
      <c r="R25" s="80"/>
      <c r="S25" s="80"/>
      <c r="T25" s="14"/>
    </row>
    <row r="26" spans="1:20" s="3" customFormat="1" ht="9.9499999999999993" customHeight="1" x14ac:dyDescent="0.3">
      <c r="A26" s="13"/>
      <c r="B26" s="16"/>
      <c r="C26" s="16"/>
      <c r="D26" s="16"/>
      <c r="E26" s="17"/>
      <c r="F26" s="17"/>
      <c r="G26" s="17"/>
      <c r="H26" s="17"/>
      <c r="I26" s="17"/>
      <c r="J26" s="17"/>
      <c r="K26" s="17"/>
      <c r="L26" s="17"/>
      <c r="M26" s="17"/>
      <c r="N26" s="17"/>
      <c r="O26" s="17"/>
      <c r="P26" s="17"/>
      <c r="Q26" s="17"/>
      <c r="R26" s="17"/>
      <c r="S26" s="17"/>
      <c r="T26" s="14"/>
    </row>
    <row r="27" spans="1:20" s="24" customFormat="1" ht="20.100000000000001" customHeight="1" x14ac:dyDescent="0.3">
      <c r="A27" s="33"/>
      <c r="B27" s="22"/>
      <c r="C27" s="22"/>
      <c r="D27" s="88" t="str">
        <f>IF(ISBLANK($F$31),"",VLOOKUP($F$31,임대인정보,임대인!P5,0))</f>
        <v/>
      </c>
      <c r="E27" s="88"/>
      <c r="F27" s="88"/>
      <c r="G27" s="88"/>
      <c r="H27" s="88"/>
      <c r="I27" s="88"/>
      <c r="J27" s="88"/>
      <c r="K27" s="88"/>
      <c r="L27" s="88"/>
      <c r="M27" s="88"/>
      <c r="N27" s="88"/>
      <c r="O27" s="88"/>
      <c r="P27" s="88"/>
      <c r="Q27" s="88"/>
      <c r="R27" s="23"/>
      <c r="S27" s="23"/>
      <c r="T27" s="34"/>
    </row>
    <row r="28" spans="1:20" s="24" customFormat="1" ht="3.75" customHeight="1" x14ac:dyDescent="0.3">
      <c r="A28" s="33"/>
      <c r="B28" s="22"/>
      <c r="C28" s="22"/>
      <c r="D28" s="22"/>
      <c r="E28" s="22"/>
      <c r="F28" s="22"/>
      <c r="G28" s="22"/>
      <c r="H28" s="22"/>
      <c r="I28" s="22"/>
      <c r="J28" s="22"/>
      <c r="K28" s="22"/>
      <c r="L28" s="22"/>
      <c r="M28" s="22"/>
      <c r="N28" s="22"/>
      <c r="O28" s="22"/>
      <c r="P28" s="22"/>
      <c r="Q28" s="22"/>
      <c r="R28" s="25"/>
      <c r="S28" s="25"/>
      <c r="T28" s="34"/>
    </row>
    <row r="29" spans="1:20" s="24" customFormat="1" ht="20.100000000000001" customHeight="1" x14ac:dyDescent="0.3">
      <c r="A29" s="33"/>
      <c r="B29" s="22"/>
      <c r="C29" s="26" t="s">
        <v>13</v>
      </c>
      <c r="D29" s="26"/>
      <c r="E29" s="22"/>
      <c r="F29" s="22"/>
      <c r="G29" s="22"/>
      <c r="H29" s="22"/>
      <c r="I29" s="22"/>
      <c r="J29" s="22"/>
      <c r="K29" s="22"/>
      <c r="L29" s="22"/>
      <c r="M29" s="22"/>
      <c r="N29" s="22"/>
      <c r="O29" s="22"/>
      <c r="P29" s="22"/>
      <c r="Q29" s="22"/>
      <c r="R29" s="22"/>
      <c r="S29" s="22"/>
      <c r="T29" s="34"/>
    </row>
    <row r="30" spans="1:20" s="24" customFormat="1" ht="20.100000000000001" customHeight="1" x14ac:dyDescent="0.3">
      <c r="A30" s="33"/>
      <c r="B30" s="22"/>
      <c r="C30" s="22"/>
      <c r="D30" s="71" t="s">
        <v>45</v>
      </c>
      <c r="E30" s="71"/>
      <c r="F30" s="72" t="str">
        <f>IF(ISBLANK($F$31),"",VLOOKUP($F$31,임대인정보,임대인!Q5,0))</f>
        <v/>
      </c>
      <c r="G30" s="72"/>
      <c r="H30" s="72"/>
      <c r="I30" s="72"/>
      <c r="J30" s="73" t="s">
        <v>48</v>
      </c>
      <c r="K30" s="73"/>
      <c r="L30" s="73"/>
      <c r="M30" s="73"/>
      <c r="N30" s="72" t="str">
        <f>IF(ISBLANK($F$31),"",VLOOKUP($F$31,임대인정보,임대인!R5,0))</f>
        <v/>
      </c>
      <c r="O30" s="72"/>
      <c r="P30" s="72"/>
      <c r="Q30" s="72"/>
      <c r="R30" s="72"/>
      <c r="S30" s="25"/>
      <c r="T30" s="34"/>
    </row>
    <row r="31" spans="1:20" s="24" customFormat="1" ht="20.100000000000001" customHeight="1" x14ac:dyDescent="0.3">
      <c r="A31" s="33"/>
      <c r="B31" s="22"/>
      <c r="C31" s="22"/>
      <c r="D31" s="71" t="s">
        <v>44</v>
      </c>
      <c r="E31" s="71"/>
      <c r="F31" s="87"/>
      <c r="G31" s="87"/>
      <c r="H31" s="87"/>
      <c r="I31" s="74" t="s">
        <v>47</v>
      </c>
      <c r="J31" s="74"/>
      <c r="K31" s="76"/>
      <c r="L31" s="76"/>
      <c r="M31" s="76"/>
      <c r="N31" s="76"/>
      <c r="O31" s="76"/>
      <c r="P31" s="22"/>
      <c r="Q31" s="22"/>
      <c r="R31" s="25"/>
      <c r="S31" s="25"/>
      <c r="T31" s="34"/>
    </row>
    <row r="32" spans="1:20" s="24" customFormat="1" ht="20.100000000000001" customHeight="1" x14ac:dyDescent="0.3">
      <c r="A32" s="33"/>
      <c r="B32" s="22"/>
      <c r="C32" s="22"/>
      <c r="D32" s="71" t="s">
        <v>46</v>
      </c>
      <c r="E32" s="71"/>
      <c r="F32" s="72" t="str">
        <f>IF(ISBLANK($F$31),"",VLOOKUP($F$31,임대인정보,임대인!S5,0))</f>
        <v/>
      </c>
      <c r="G32" s="72"/>
      <c r="H32" s="72"/>
      <c r="I32" s="72"/>
      <c r="J32" s="72"/>
      <c r="K32" s="72"/>
      <c r="L32" s="72"/>
      <c r="M32" s="72"/>
      <c r="N32" s="72"/>
      <c r="O32" s="72"/>
      <c r="P32" s="72"/>
      <c r="Q32" s="72"/>
      <c r="R32" s="25"/>
      <c r="S32" s="25"/>
      <c r="T32" s="34"/>
    </row>
    <row r="33" spans="1:20" s="24" customFormat="1" ht="20.100000000000001" customHeight="1" x14ac:dyDescent="0.3">
      <c r="A33" s="33"/>
      <c r="B33" s="22"/>
      <c r="C33" s="26" t="s">
        <v>19</v>
      </c>
      <c r="D33" s="26"/>
      <c r="E33" s="22"/>
      <c r="F33" s="22"/>
      <c r="G33" s="22"/>
      <c r="H33" s="22"/>
      <c r="I33" s="22"/>
      <c r="J33" s="22"/>
      <c r="K33" s="22"/>
      <c r="L33" s="22"/>
      <c r="M33" s="22"/>
      <c r="N33" s="22"/>
      <c r="O33" s="22"/>
      <c r="P33" s="22"/>
      <c r="Q33" s="22"/>
      <c r="R33" s="25"/>
      <c r="S33" s="25"/>
      <c r="T33" s="34"/>
    </row>
    <row r="34" spans="1:20" s="24" customFormat="1" ht="20.100000000000001" customHeight="1" x14ac:dyDescent="0.3">
      <c r="A34" s="33"/>
      <c r="B34" s="22"/>
      <c r="C34" s="22"/>
      <c r="D34" s="71" t="s">
        <v>45</v>
      </c>
      <c r="E34" s="71"/>
      <c r="F34" s="72" t="str">
        <f>IF(ISBLANK($B$13),"",VLOOKUP($B$13,현장정보,현장!F4,0))</f>
        <v/>
      </c>
      <c r="G34" s="72"/>
      <c r="H34" s="72"/>
      <c r="I34" s="72"/>
      <c r="J34" s="73" t="s">
        <v>48</v>
      </c>
      <c r="K34" s="73"/>
      <c r="L34" s="73"/>
      <c r="M34" s="73"/>
      <c r="N34" s="72" t="str">
        <f>IF(ISBLANK($B$13),"",VLOOKUP($B$13,현장정보,현장!G4,0))</f>
        <v/>
      </c>
      <c r="O34" s="72"/>
      <c r="P34" s="72"/>
      <c r="Q34" s="72"/>
      <c r="R34" s="72"/>
      <c r="S34" s="25"/>
      <c r="T34" s="34"/>
    </row>
    <row r="35" spans="1:20" s="24" customFormat="1" ht="20.100000000000001" customHeight="1" x14ac:dyDescent="0.3">
      <c r="A35" s="33"/>
      <c r="B35" s="22"/>
      <c r="C35" s="22"/>
      <c r="D35" s="71" t="s">
        <v>44</v>
      </c>
      <c r="E35" s="71"/>
      <c r="F35" s="75" t="str">
        <f>IF(ISBLANK($B$13),"",VLOOKUP($B$13,현장정보,현장!E4,0))</f>
        <v/>
      </c>
      <c r="G35" s="75"/>
      <c r="H35" s="75"/>
      <c r="I35" s="74" t="s">
        <v>47</v>
      </c>
      <c r="J35" s="74"/>
      <c r="K35" s="22"/>
      <c r="L35" s="22"/>
      <c r="M35" s="22"/>
      <c r="N35" s="22"/>
      <c r="O35" s="22"/>
      <c r="P35" s="22"/>
      <c r="Q35" s="22"/>
      <c r="R35" s="25"/>
      <c r="S35" s="25"/>
      <c r="T35" s="34"/>
    </row>
    <row r="36" spans="1:20" s="24" customFormat="1" ht="20.100000000000001" customHeight="1" x14ac:dyDescent="0.3">
      <c r="A36" s="33"/>
      <c r="B36" s="27"/>
      <c r="C36" s="22"/>
      <c r="D36" s="71" t="s">
        <v>46</v>
      </c>
      <c r="E36" s="71"/>
      <c r="F36" s="72" t="str">
        <f>IF(ISBLANK($B$13),"",VLOOKUP($B$13,현장정보,현장!H4,0))</f>
        <v/>
      </c>
      <c r="G36" s="72"/>
      <c r="H36" s="72"/>
      <c r="I36" s="72"/>
      <c r="J36" s="72"/>
      <c r="K36" s="72"/>
      <c r="L36" s="72"/>
      <c r="M36" s="72"/>
      <c r="N36" s="72"/>
      <c r="O36" s="72"/>
      <c r="P36" s="72"/>
      <c r="Q36" s="72"/>
      <c r="R36" s="27"/>
      <c r="S36" s="27"/>
      <c r="T36" s="34"/>
    </row>
    <row r="37" spans="1:20" s="24" customFormat="1" ht="17.25" x14ac:dyDescent="0.3">
      <c r="A37" s="35"/>
      <c r="B37" s="36"/>
      <c r="C37" s="36"/>
      <c r="D37" s="36"/>
      <c r="E37" s="36"/>
      <c r="F37" s="36"/>
      <c r="G37" s="36"/>
      <c r="H37" s="36"/>
      <c r="I37" s="36"/>
      <c r="J37" s="36"/>
      <c r="K37" s="36"/>
      <c r="L37" s="36"/>
      <c r="M37" s="36"/>
      <c r="N37" s="36"/>
      <c r="O37" s="36"/>
      <c r="P37" s="36"/>
      <c r="Q37" s="36"/>
      <c r="R37" s="36"/>
      <c r="S37" s="36"/>
      <c r="T37" s="37"/>
    </row>
    <row r="38" spans="1:20" s="24" customFormat="1" ht="17.25" x14ac:dyDescent="0.3">
      <c r="B38" s="28"/>
      <c r="C38" s="28"/>
      <c r="D38" s="28"/>
      <c r="E38" s="28"/>
      <c r="F38" s="28"/>
      <c r="G38" s="28"/>
      <c r="H38" s="28"/>
      <c r="I38" s="28"/>
      <c r="J38" s="28"/>
      <c r="K38" s="28"/>
      <c r="L38" s="28"/>
      <c r="M38" s="28"/>
      <c r="N38" s="28"/>
      <c r="O38" s="28"/>
      <c r="P38" s="28"/>
      <c r="Q38" s="28"/>
      <c r="R38" s="28"/>
      <c r="S38" s="28"/>
    </row>
  </sheetData>
  <mergeCells count="65">
    <mergeCell ref="O1:S3"/>
    <mergeCell ref="B2:N2"/>
    <mergeCell ref="B6:S6"/>
    <mergeCell ref="Q8:S8"/>
    <mergeCell ref="N8:P8"/>
    <mergeCell ref="K8:M8"/>
    <mergeCell ref="B7:S7"/>
    <mergeCell ref="H8:J8"/>
    <mergeCell ref="E8:G8"/>
    <mergeCell ref="B8:D8"/>
    <mergeCell ref="O4:S4"/>
    <mergeCell ref="F12:H12"/>
    <mergeCell ref="B11:S11"/>
    <mergeCell ref="H9:J10"/>
    <mergeCell ref="N9:P10"/>
    <mergeCell ref="O5:S5"/>
    <mergeCell ref="O12:Q12"/>
    <mergeCell ref="B12:E12"/>
    <mergeCell ref="B9:D10"/>
    <mergeCell ref="E9:G10"/>
    <mergeCell ref="I12:K12"/>
    <mergeCell ref="L13:N13"/>
    <mergeCell ref="L12:N12"/>
    <mergeCell ref="Q9:S10"/>
    <mergeCell ref="R12:S12"/>
    <mergeCell ref="O13:Q13"/>
    <mergeCell ref="K9:M10"/>
    <mergeCell ref="R13:S13"/>
    <mergeCell ref="I13:K13"/>
    <mergeCell ref="B19:S19"/>
    <mergeCell ref="E24:S24"/>
    <mergeCell ref="B17:D17"/>
    <mergeCell ref="B18:D18"/>
    <mergeCell ref="E18:S18"/>
    <mergeCell ref="B13:E13"/>
    <mergeCell ref="F13:H13"/>
    <mergeCell ref="D32:E32"/>
    <mergeCell ref="F30:I30"/>
    <mergeCell ref="C22:R22"/>
    <mergeCell ref="E25:S25"/>
    <mergeCell ref="E15:S15"/>
    <mergeCell ref="E16:S16"/>
    <mergeCell ref="E17:S17"/>
    <mergeCell ref="B15:D15"/>
    <mergeCell ref="D30:E30"/>
    <mergeCell ref="B24:D24"/>
    <mergeCell ref="B16:D16"/>
    <mergeCell ref="F31:H31"/>
    <mergeCell ref="D27:Q27"/>
    <mergeCell ref="B20:S20"/>
    <mergeCell ref="D36:E36"/>
    <mergeCell ref="F36:Q36"/>
    <mergeCell ref="J34:M34"/>
    <mergeCell ref="J30:M30"/>
    <mergeCell ref="N34:R34"/>
    <mergeCell ref="N30:R30"/>
    <mergeCell ref="I35:J35"/>
    <mergeCell ref="I31:J31"/>
    <mergeCell ref="D34:E34"/>
    <mergeCell ref="F34:I34"/>
    <mergeCell ref="D35:E35"/>
    <mergeCell ref="F35:H35"/>
    <mergeCell ref="F32:Q32"/>
    <mergeCell ref="K31:O31"/>
    <mergeCell ref="D31:E31"/>
  </mergeCells>
  <phoneticPr fontId="11" type="noConversion"/>
  <dataValidations count="2">
    <dataValidation type="list" allowBlank="1" showInputMessage="1" showErrorMessage="1" sqref="F31:H31" xr:uid="{00000000-0002-0000-0200-000000000000}">
      <formula1>성명</formula1>
    </dataValidation>
    <dataValidation type="list" allowBlank="1" showInputMessage="1" showErrorMessage="1" sqref="B13:E13" xr:uid="{00000000-0002-0000-0200-000001000000}">
      <formula1>현장명</formula1>
    </dataValidation>
  </dataValidations>
  <printOptions horizontalCentered="1"/>
  <pageMargins left="0.59055118110236227" right="0.59055118110236227" top="0.98425196850393704" bottom="0.59055118110236227" header="0.31496062992125984" footer="0.31496062992125984"/>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C112"/>
  <sheetViews>
    <sheetView view="pageBreakPreview" topLeftCell="A85" zoomScale="85" zoomScaleNormal="100" zoomScaleSheetLayoutView="85" workbookViewId="0">
      <selection activeCell="B30" sqref="B30:C32"/>
    </sheetView>
  </sheetViews>
  <sheetFormatPr defaultRowHeight="16.5" x14ac:dyDescent="0.3"/>
  <cols>
    <col min="1" max="1" width="5.625" customWidth="1"/>
    <col min="2" max="2" width="2.625" customWidth="1"/>
    <col min="3" max="3" width="82.625" customWidth="1"/>
  </cols>
  <sheetData>
    <row r="1" spans="1:3" ht="24" x14ac:dyDescent="0.3">
      <c r="A1" s="126" t="s">
        <v>0</v>
      </c>
      <c r="B1" s="126"/>
      <c r="C1" s="126"/>
    </row>
    <row r="2" spans="1:3" ht="15" customHeight="1" x14ac:dyDescent="0.3">
      <c r="A2" s="58" t="s">
        <v>83</v>
      </c>
      <c r="B2" s="125" t="s">
        <v>84</v>
      </c>
      <c r="C2" s="125"/>
    </row>
    <row r="3" spans="1:3" ht="15" customHeight="1" x14ac:dyDescent="0.3">
      <c r="A3" s="58"/>
      <c r="B3" s="125"/>
      <c r="C3" s="125"/>
    </row>
    <row r="4" spans="1:3" ht="15" customHeight="1" x14ac:dyDescent="0.3">
      <c r="A4" s="58"/>
      <c r="B4" s="57"/>
      <c r="C4" s="57"/>
    </row>
    <row r="5" spans="1:3" ht="15" customHeight="1" x14ac:dyDescent="0.3">
      <c r="A5" s="58" t="s">
        <v>85</v>
      </c>
      <c r="B5" s="125" t="s">
        <v>86</v>
      </c>
      <c r="C5" s="125"/>
    </row>
    <row r="6" spans="1:3" ht="15" customHeight="1" x14ac:dyDescent="0.3">
      <c r="A6" s="58"/>
      <c r="B6" s="125"/>
      <c r="C6" s="125"/>
    </row>
    <row r="7" spans="1:3" ht="15" customHeight="1" x14ac:dyDescent="0.3">
      <c r="A7" s="58"/>
      <c r="B7" s="57"/>
      <c r="C7" s="57"/>
    </row>
    <row r="8" spans="1:3" ht="15" customHeight="1" x14ac:dyDescent="0.3">
      <c r="A8" s="58" t="s">
        <v>87</v>
      </c>
      <c r="B8" s="125" t="s">
        <v>88</v>
      </c>
      <c r="C8" s="125"/>
    </row>
    <row r="9" spans="1:3" ht="5.0999999999999996" customHeight="1" x14ac:dyDescent="0.3">
      <c r="A9" s="58"/>
      <c r="B9" s="57"/>
      <c r="C9" s="57"/>
    </row>
    <row r="10" spans="1:3" ht="15" customHeight="1" x14ac:dyDescent="0.3">
      <c r="A10" s="58"/>
      <c r="B10" s="125" t="s">
        <v>62</v>
      </c>
      <c r="C10" s="125"/>
    </row>
    <row r="11" spans="1:3" ht="15" customHeight="1" x14ac:dyDescent="0.3">
      <c r="A11" s="58"/>
      <c r="B11" s="125"/>
      <c r="C11" s="125"/>
    </row>
    <row r="12" spans="1:3" ht="5.0999999999999996" customHeight="1" x14ac:dyDescent="0.3">
      <c r="A12" s="58"/>
      <c r="B12" s="57"/>
      <c r="C12" s="57"/>
    </row>
    <row r="13" spans="1:3" ht="15" customHeight="1" x14ac:dyDescent="0.3">
      <c r="A13" s="58"/>
      <c r="B13" s="125" t="s">
        <v>63</v>
      </c>
      <c r="C13" s="125"/>
    </row>
    <row r="14" spans="1:3" ht="15" customHeight="1" x14ac:dyDescent="0.3">
      <c r="A14" s="58"/>
      <c r="B14" s="125"/>
      <c r="C14" s="125"/>
    </row>
    <row r="15" spans="1:3" ht="15" customHeight="1" x14ac:dyDescent="0.3">
      <c r="A15" s="58"/>
      <c r="B15" s="125"/>
      <c r="C15" s="125"/>
    </row>
    <row r="16" spans="1:3" ht="15" customHeight="1" x14ac:dyDescent="0.3">
      <c r="A16" s="58"/>
      <c r="B16" s="125"/>
      <c r="C16" s="125"/>
    </row>
    <row r="17" spans="1:3" ht="15" customHeight="1" x14ac:dyDescent="0.3">
      <c r="A17" s="58"/>
      <c r="B17" s="125" t="s">
        <v>116</v>
      </c>
      <c r="C17" s="125"/>
    </row>
    <row r="18" spans="1:3" ht="15" customHeight="1" x14ac:dyDescent="0.3">
      <c r="A18" s="58"/>
      <c r="B18" s="125"/>
      <c r="C18" s="125"/>
    </row>
    <row r="19" spans="1:3" ht="15" customHeight="1" x14ac:dyDescent="0.3">
      <c r="A19" s="58"/>
      <c r="B19" s="125"/>
      <c r="C19" s="125"/>
    </row>
    <row r="20" spans="1:3" ht="15" customHeight="1" x14ac:dyDescent="0.3">
      <c r="A20" s="58"/>
      <c r="B20" s="125" t="s">
        <v>64</v>
      </c>
      <c r="C20" s="125"/>
    </row>
    <row r="21" spans="1:3" ht="15" customHeight="1" x14ac:dyDescent="0.3">
      <c r="A21" s="58"/>
      <c r="B21" s="125" t="s">
        <v>65</v>
      </c>
      <c r="C21" s="125"/>
    </row>
    <row r="22" spans="1:3" ht="5.0999999999999996" customHeight="1" x14ac:dyDescent="0.3">
      <c r="A22" s="58"/>
      <c r="B22" s="57"/>
      <c r="C22" s="57"/>
    </row>
    <row r="23" spans="1:3" ht="15" customHeight="1" x14ac:dyDescent="0.3">
      <c r="A23" s="58"/>
      <c r="B23" s="125" t="s">
        <v>66</v>
      </c>
      <c r="C23" s="125"/>
    </row>
    <row r="24" spans="1:3" ht="15" customHeight="1" x14ac:dyDescent="0.3">
      <c r="A24" s="58"/>
      <c r="B24" s="57"/>
      <c r="C24" s="57"/>
    </row>
    <row r="25" spans="1:3" ht="15" customHeight="1" x14ac:dyDescent="0.3">
      <c r="A25" s="58" t="s">
        <v>89</v>
      </c>
      <c r="B25" s="125" t="s">
        <v>90</v>
      </c>
      <c r="C25" s="125"/>
    </row>
    <row r="26" spans="1:3" ht="5.0999999999999996" customHeight="1" x14ac:dyDescent="0.3">
      <c r="A26" s="58"/>
      <c r="B26" s="57"/>
      <c r="C26" s="57"/>
    </row>
    <row r="27" spans="1:3" ht="15" customHeight="1" x14ac:dyDescent="0.3">
      <c r="A27" s="58"/>
      <c r="B27" s="125" t="s">
        <v>67</v>
      </c>
      <c r="C27" s="125"/>
    </row>
    <row r="28" spans="1:3" ht="15" customHeight="1" x14ac:dyDescent="0.3">
      <c r="A28" s="58"/>
      <c r="B28" s="125"/>
      <c r="C28" s="125"/>
    </row>
    <row r="29" spans="1:3" ht="5.0999999999999996" customHeight="1" x14ac:dyDescent="0.3">
      <c r="A29" s="58"/>
      <c r="B29" s="57"/>
      <c r="C29" s="57"/>
    </row>
    <row r="30" spans="1:3" ht="15" customHeight="1" x14ac:dyDescent="0.3">
      <c r="A30" s="58"/>
      <c r="B30" s="125" t="s">
        <v>68</v>
      </c>
      <c r="C30" s="125"/>
    </row>
    <row r="31" spans="1:3" ht="15" customHeight="1" x14ac:dyDescent="0.3">
      <c r="A31" s="58"/>
      <c r="B31" s="125"/>
      <c r="C31" s="125"/>
    </row>
    <row r="32" spans="1:3" ht="15" customHeight="1" x14ac:dyDescent="0.3">
      <c r="A32" s="58"/>
      <c r="B32" s="125"/>
      <c r="C32" s="125"/>
    </row>
    <row r="33" spans="1:3" ht="5.0999999999999996" customHeight="1" x14ac:dyDescent="0.3">
      <c r="A33" s="58"/>
      <c r="B33" s="57"/>
      <c r="C33" s="57"/>
    </row>
    <row r="34" spans="1:3" ht="15" customHeight="1" x14ac:dyDescent="0.3">
      <c r="A34" s="58"/>
      <c r="B34" s="125" t="s">
        <v>69</v>
      </c>
      <c r="C34" s="125"/>
    </row>
    <row r="35" spans="1:3" ht="15" customHeight="1" x14ac:dyDescent="0.3">
      <c r="A35" s="58"/>
      <c r="B35" s="125"/>
      <c r="C35" s="125"/>
    </row>
    <row r="36" spans="1:3" ht="15" customHeight="1" x14ac:dyDescent="0.3">
      <c r="A36" s="58"/>
      <c r="B36" s="57"/>
      <c r="C36" s="57"/>
    </row>
    <row r="37" spans="1:3" ht="15" customHeight="1" x14ac:dyDescent="0.3">
      <c r="A37" s="58" t="s">
        <v>91</v>
      </c>
      <c r="B37" s="125" t="s">
        <v>92</v>
      </c>
      <c r="C37" s="125"/>
    </row>
    <row r="38" spans="1:3" ht="15" customHeight="1" x14ac:dyDescent="0.3">
      <c r="A38" s="58"/>
      <c r="B38" s="125"/>
      <c r="C38" s="125"/>
    </row>
    <row r="39" spans="1:3" ht="5.0999999999999996" customHeight="1" x14ac:dyDescent="0.3">
      <c r="A39" s="58"/>
      <c r="B39" s="57"/>
      <c r="C39" s="57"/>
    </row>
    <row r="40" spans="1:3" ht="15" customHeight="1" x14ac:dyDescent="0.3">
      <c r="A40" s="58"/>
      <c r="B40" s="125" t="s">
        <v>70</v>
      </c>
      <c r="C40" s="125"/>
    </row>
    <row r="41" spans="1:3" ht="15" customHeight="1" x14ac:dyDescent="0.3">
      <c r="A41" s="58"/>
      <c r="B41" s="57"/>
      <c r="C41" s="57"/>
    </row>
    <row r="42" spans="1:3" ht="15" customHeight="1" x14ac:dyDescent="0.3">
      <c r="A42" s="58" t="s">
        <v>93</v>
      </c>
      <c r="B42" s="125" t="s">
        <v>94</v>
      </c>
      <c r="C42" s="125"/>
    </row>
    <row r="43" spans="1:3" ht="15" customHeight="1" x14ac:dyDescent="0.3">
      <c r="A43" s="58"/>
      <c r="B43" s="125"/>
      <c r="C43" s="125"/>
    </row>
    <row r="44" spans="1:3" ht="15" customHeight="1" x14ac:dyDescent="0.3">
      <c r="A44" s="58"/>
      <c r="B44" s="125"/>
      <c r="C44" s="125"/>
    </row>
    <row r="45" spans="1:3" ht="5.0999999999999996" customHeight="1" x14ac:dyDescent="0.3">
      <c r="A45" s="58"/>
      <c r="B45" s="57"/>
      <c r="C45" s="57"/>
    </row>
    <row r="46" spans="1:3" ht="15" customHeight="1" x14ac:dyDescent="0.3">
      <c r="A46" s="58"/>
      <c r="B46" s="125" t="s">
        <v>71</v>
      </c>
      <c r="C46" s="125"/>
    </row>
    <row r="47" spans="1:3" ht="15" customHeight="1" x14ac:dyDescent="0.3">
      <c r="A47" s="58"/>
      <c r="B47" s="125"/>
      <c r="C47" s="125"/>
    </row>
    <row r="48" spans="1:3" ht="15" customHeight="1" x14ac:dyDescent="0.3">
      <c r="A48" s="58"/>
      <c r="B48" s="125"/>
      <c r="C48" s="125"/>
    </row>
    <row r="49" spans="1:3" ht="5.0999999999999996" customHeight="1" x14ac:dyDescent="0.3">
      <c r="A49" s="58"/>
      <c r="B49" s="57"/>
      <c r="C49" s="57"/>
    </row>
    <row r="50" spans="1:3" ht="15" customHeight="1" x14ac:dyDescent="0.3">
      <c r="A50" s="58"/>
      <c r="B50" s="125" t="s">
        <v>72</v>
      </c>
      <c r="C50" s="125"/>
    </row>
    <row r="51" spans="1:3" ht="15" customHeight="1" x14ac:dyDescent="0.3">
      <c r="A51" s="58"/>
      <c r="B51" s="125"/>
      <c r="C51" s="125"/>
    </row>
    <row r="52" spans="1:3" ht="15" customHeight="1" x14ac:dyDescent="0.3">
      <c r="A52" s="58"/>
      <c r="B52" s="59">
        <v>1</v>
      </c>
      <c r="C52" s="57" t="s">
        <v>109</v>
      </c>
    </row>
    <row r="53" spans="1:3" ht="15" customHeight="1" x14ac:dyDescent="0.3">
      <c r="A53" s="58"/>
      <c r="B53" s="59">
        <v>2</v>
      </c>
      <c r="C53" s="57" t="s">
        <v>110</v>
      </c>
    </row>
    <row r="54" spans="1:3" ht="15" customHeight="1" x14ac:dyDescent="0.3">
      <c r="A54" s="58"/>
      <c r="B54" s="59">
        <v>3</v>
      </c>
      <c r="C54" s="125" t="s">
        <v>111</v>
      </c>
    </row>
    <row r="55" spans="1:3" ht="15" customHeight="1" x14ac:dyDescent="0.3">
      <c r="A55" s="58"/>
      <c r="B55" s="60"/>
      <c r="C55" s="125"/>
    </row>
    <row r="56" spans="1:3" ht="15" customHeight="1" x14ac:dyDescent="0.3">
      <c r="A56" s="58"/>
      <c r="B56" s="59">
        <v>4</v>
      </c>
      <c r="C56" s="57" t="s">
        <v>112</v>
      </c>
    </row>
    <row r="57" spans="1:3" ht="5.0999999999999996" customHeight="1" x14ac:dyDescent="0.3">
      <c r="A57" s="58"/>
      <c r="B57" s="57"/>
      <c r="C57" s="57"/>
    </row>
    <row r="58" spans="1:3" ht="15" customHeight="1" x14ac:dyDescent="0.3">
      <c r="A58" s="58"/>
      <c r="B58" s="60"/>
      <c r="C58" s="57" t="s">
        <v>73</v>
      </c>
    </row>
    <row r="59" spans="1:3" ht="15" customHeight="1" x14ac:dyDescent="0.3">
      <c r="A59" s="58"/>
      <c r="B59" s="59">
        <v>1</v>
      </c>
      <c r="C59" s="125" t="s">
        <v>113</v>
      </c>
    </row>
    <row r="60" spans="1:3" ht="15" customHeight="1" x14ac:dyDescent="0.3">
      <c r="A60" s="58"/>
      <c r="B60" s="60"/>
      <c r="C60" s="125"/>
    </row>
    <row r="61" spans="1:3" ht="15" customHeight="1" x14ac:dyDescent="0.3">
      <c r="A61" s="58"/>
      <c r="B61" s="59">
        <v>2</v>
      </c>
      <c r="C61" s="125" t="s">
        <v>114</v>
      </c>
    </row>
    <row r="62" spans="1:3" ht="15" customHeight="1" x14ac:dyDescent="0.3">
      <c r="A62" s="58"/>
      <c r="B62" s="60"/>
      <c r="C62" s="125"/>
    </row>
    <row r="63" spans="1:3" ht="15" customHeight="1" x14ac:dyDescent="0.3">
      <c r="A63" s="58"/>
      <c r="B63" s="59">
        <v>3</v>
      </c>
      <c r="C63" s="125" t="s">
        <v>115</v>
      </c>
    </row>
    <row r="64" spans="1:3" ht="15" customHeight="1" x14ac:dyDescent="0.3">
      <c r="A64" s="58"/>
      <c r="B64" s="60"/>
      <c r="C64" s="125"/>
    </row>
    <row r="65" spans="1:3" ht="5.0999999999999996" customHeight="1" x14ac:dyDescent="0.3">
      <c r="A65" s="58"/>
      <c r="B65" s="57"/>
      <c r="C65" s="57"/>
    </row>
    <row r="66" spans="1:3" ht="15" customHeight="1" x14ac:dyDescent="0.3">
      <c r="A66" s="58"/>
      <c r="B66" s="125" t="s">
        <v>74</v>
      </c>
      <c r="C66" s="125"/>
    </row>
    <row r="67" spans="1:3" ht="15" customHeight="1" x14ac:dyDescent="0.3">
      <c r="A67" s="58"/>
      <c r="B67" s="57"/>
      <c r="C67" s="57"/>
    </row>
    <row r="68" spans="1:3" ht="15" customHeight="1" x14ac:dyDescent="0.3">
      <c r="A68" s="58" t="s">
        <v>93</v>
      </c>
      <c r="B68" s="125" t="s">
        <v>95</v>
      </c>
      <c r="C68" s="125"/>
    </row>
    <row r="69" spans="1:3" ht="15" customHeight="1" x14ac:dyDescent="0.3">
      <c r="A69" s="58"/>
      <c r="B69" s="125"/>
      <c r="C69" s="125"/>
    </row>
    <row r="70" spans="1:3" ht="15" customHeight="1" x14ac:dyDescent="0.3">
      <c r="A70" s="58"/>
      <c r="B70" s="57"/>
      <c r="C70" s="57"/>
    </row>
    <row r="71" spans="1:3" ht="15" customHeight="1" x14ac:dyDescent="0.3">
      <c r="A71" s="58" t="s">
        <v>96</v>
      </c>
      <c r="B71" s="125" t="s">
        <v>75</v>
      </c>
      <c r="C71" s="125"/>
    </row>
    <row r="72" spans="1:3" ht="15" customHeight="1" x14ac:dyDescent="0.3">
      <c r="A72" s="58"/>
      <c r="B72" s="125"/>
      <c r="C72" s="125"/>
    </row>
    <row r="73" spans="1:3" ht="5.0999999999999996" customHeight="1" x14ac:dyDescent="0.3">
      <c r="A73" s="58"/>
      <c r="B73" s="57"/>
      <c r="C73" s="57"/>
    </row>
    <row r="74" spans="1:3" ht="15" customHeight="1" x14ac:dyDescent="0.3">
      <c r="A74" s="58"/>
      <c r="B74" s="125" t="s">
        <v>76</v>
      </c>
      <c r="C74" s="125"/>
    </row>
    <row r="75" spans="1:3" ht="15" customHeight="1" x14ac:dyDescent="0.3">
      <c r="A75" s="58"/>
      <c r="B75" s="125"/>
      <c r="C75" s="125"/>
    </row>
    <row r="76" spans="1:3" ht="15" customHeight="1" x14ac:dyDescent="0.3">
      <c r="A76" s="58"/>
      <c r="B76" s="57"/>
      <c r="C76" s="57"/>
    </row>
    <row r="77" spans="1:3" ht="15" customHeight="1" x14ac:dyDescent="0.3">
      <c r="A77" s="58" t="s">
        <v>97</v>
      </c>
      <c r="B77" s="125" t="s">
        <v>98</v>
      </c>
      <c r="C77" s="125"/>
    </row>
    <row r="78" spans="1:3" ht="5.0999999999999996" customHeight="1" x14ac:dyDescent="0.3">
      <c r="A78" s="58"/>
      <c r="B78" s="57"/>
      <c r="C78" s="57"/>
    </row>
    <row r="79" spans="1:3" ht="15" customHeight="1" x14ac:dyDescent="0.3">
      <c r="A79" s="58"/>
      <c r="B79" s="125" t="s">
        <v>77</v>
      </c>
      <c r="C79" s="125"/>
    </row>
    <row r="80" spans="1:3" ht="15" customHeight="1" x14ac:dyDescent="0.3">
      <c r="A80" s="58"/>
      <c r="B80" s="125"/>
      <c r="C80" s="125"/>
    </row>
    <row r="81" spans="1:3" ht="5.0999999999999996" customHeight="1" x14ac:dyDescent="0.3">
      <c r="A81" s="58"/>
      <c r="B81" s="57"/>
      <c r="C81" s="57"/>
    </row>
    <row r="82" spans="1:3" ht="15" customHeight="1" x14ac:dyDescent="0.3">
      <c r="A82" s="58"/>
      <c r="B82" s="125" t="s">
        <v>78</v>
      </c>
      <c r="C82" s="125"/>
    </row>
    <row r="83" spans="1:3" ht="15" customHeight="1" x14ac:dyDescent="0.3">
      <c r="A83" s="58"/>
      <c r="B83" s="125"/>
      <c r="C83" s="125"/>
    </row>
    <row r="84" spans="1:3" ht="5.0999999999999996" customHeight="1" x14ac:dyDescent="0.3">
      <c r="A84" s="58"/>
      <c r="B84" s="57"/>
      <c r="C84" s="57"/>
    </row>
    <row r="85" spans="1:3" ht="15" customHeight="1" x14ac:dyDescent="0.3">
      <c r="A85" s="58"/>
      <c r="B85" s="125" t="s">
        <v>79</v>
      </c>
      <c r="C85" s="125"/>
    </row>
    <row r="86" spans="1:3" ht="15" customHeight="1" x14ac:dyDescent="0.3">
      <c r="A86" s="58"/>
      <c r="B86" s="125"/>
      <c r="C86" s="125"/>
    </row>
    <row r="87" spans="1:3" ht="15" customHeight="1" x14ac:dyDescent="0.3">
      <c r="A87" s="58"/>
      <c r="B87" s="125"/>
      <c r="C87" s="125"/>
    </row>
    <row r="88" spans="1:3" ht="15" customHeight="1" x14ac:dyDescent="0.3">
      <c r="A88" s="58"/>
      <c r="B88" s="57"/>
      <c r="C88" s="57"/>
    </row>
    <row r="89" spans="1:3" ht="15" customHeight="1" x14ac:dyDescent="0.3">
      <c r="A89" s="58" t="s">
        <v>99</v>
      </c>
      <c r="B89" s="125" t="s">
        <v>100</v>
      </c>
      <c r="C89" s="125"/>
    </row>
    <row r="90" spans="1:3" ht="15" customHeight="1" x14ac:dyDescent="0.3">
      <c r="A90" s="58"/>
      <c r="B90" s="125"/>
      <c r="C90" s="125"/>
    </row>
    <row r="91" spans="1:3" ht="5.0999999999999996" customHeight="1" x14ac:dyDescent="0.3">
      <c r="A91" s="58"/>
      <c r="B91" s="57"/>
      <c r="C91" s="57"/>
    </row>
    <row r="92" spans="1:3" ht="15" customHeight="1" x14ac:dyDescent="0.3">
      <c r="A92" s="58"/>
      <c r="B92" s="125" t="s">
        <v>80</v>
      </c>
      <c r="C92" s="125"/>
    </row>
    <row r="93" spans="1:3" ht="15" customHeight="1" x14ac:dyDescent="0.3">
      <c r="A93" s="58"/>
      <c r="B93" s="125"/>
      <c r="C93" s="125"/>
    </row>
    <row r="94" spans="1:3" ht="15" customHeight="1" x14ac:dyDescent="0.3">
      <c r="A94" s="58"/>
      <c r="B94" s="125"/>
      <c r="C94" s="125"/>
    </row>
    <row r="95" spans="1:3" ht="15" customHeight="1" x14ac:dyDescent="0.3">
      <c r="A95" s="58"/>
      <c r="B95" s="57"/>
      <c r="C95" s="57"/>
    </row>
    <row r="96" spans="1:3" ht="15" customHeight="1" x14ac:dyDescent="0.3">
      <c r="A96" s="58" t="s">
        <v>101</v>
      </c>
      <c r="B96" s="125" t="s">
        <v>102</v>
      </c>
      <c r="C96" s="125"/>
    </row>
    <row r="97" spans="1:3" ht="15" customHeight="1" x14ac:dyDescent="0.3">
      <c r="A97" s="58"/>
      <c r="B97" s="125"/>
      <c r="C97" s="125"/>
    </row>
    <row r="98" spans="1:3" ht="15" customHeight="1" x14ac:dyDescent="0.3">
      <c r="A98" s="58"/>
      <c r="B98" s="125"/>
      <c r="C98" s="125"/>
    </row>
    <row r="99" spans="1:3" ht="5.0999999999999996" customHeight="1" x14ac:dyDescent="0.3">
      <c r="A99" s="58"/>
      <c r="B99" s="57"/>
      <c r="C99" s="57"/>
    </row>
    <row r="100" spans="1:3" ht="15" customHeight="1" x14ac:dyDescent="0.3">
      <c r="A100" s="58"/>
      <c r="B100" s="125" t="s">
        <v>81</v>
      </c>
      <c r="C100" s="125"/>
    </row>
    <row r="101" spans="1:3" ht="15" customHeight="1" x14ac:dyDescent="0.3">
      <c r="A101" s="58"/>
      <c r="B101" s="125"/>
      <c r="C101" s="125"/>
    </row>
    <row r="102" spans="1:3" ht="15" customHeight="1" x14ac:dyDescent="0.3">
      <c r="A102" s="58"/>
      <c r="B102" s="57"/>
      <c r="C102" s="57"/>
    </row>
    <row r="103" spans="1:3" ht="15" customHeight="1" x14ac:dyDescent="0.3">
      <c r="A103" s="58" t="s">
        <v>103</v>
      </c>
      <c r="B103" s="125" t="s">
        <v>104</v>
      </c>
      <c r="C103" s="125"/>
    </row>
    <row r="104" spans="1:3" ht="15" customHeight="1" x14ac:dyDescent="0.3">
      <c r="A104" s="58"/>
      <c r="B104" s="125"/>
      <c r="C104" s="125"/>
    </row>
    <row r="105" spans="1:3" ht="5.0999999999999996" customHeight="1" x14ac:dyDescent="0.3">
      <c r="A105" s="58"/>
      <c r="B105" s="57"/>
      <c r="C105" s="57"/>
    </row>
    <row r="106" spans="1:3" ht="15" customHeight="1" x14ac:dyDescent="0.3">
      <c r="A106" s="58"/>
      <c r="B106" s="125" t="s">
        <v>82</v>
      </c>
      <c r="C106" s="125"/>
    </row>
    <row r="107" spans="1:3" ht="15" customHeight="1" x14ac:dyDescent="0.3">
      <c r="A107" s="58"/>
      <c r="B107" s="125"/>
      <c r="C107" s="125"/>
    </row>
    <row r="108" spans="1:3" ht="15" customHeight="1" x14ac:dyDescent="0.3">
      <c r="A108" s="58"/>
      <c r="B108" s="57"/>
      <c r="C108" s="57"/>
    </row>
    <row r="109" spans="1:3" ht="15" customHeight="1" x14ac:dyDescent="0.3">
      <c r="A109" s="58" t="s">
        <v>105</v>
      </c>
      <c r="B109" s="125" t="s">
        <v>106</v>
      </c>
      <c r="C109" s="125"/>
    </row>
    <row r="110" spans="1:3" ht="15" customHeight="1" x14ac:dyDescent="0.3">
      <c r="A110" s="58"/>
      <c r="B110" s="57"/>
      <c r="C110" s="57"/>
    </row>
    <row r="111" spans="1:3" ht="15" customHeight="1" x14ac:dyDescent="0.3">
      <c r="A111" s="58" t="s">
        <v>107</v>
      </c>
      <c r="B111" s="125" t="s">
        <v>108</v>
      </c>
      <c r="C111" s="125"/>
    </row>
    <row r="112" spans="1:3" ht="15" customHeight="1" x14ac:dyDescent="0.3"/>
  </sheetData>
  <mergeCells count="39">
    <mergeCell ref="B17:C19"/>
    <mergeCell ref="B27:C28"/>
    <mergeCell ref="B25:C25"/>
    <mergeCell ref="B23:C23"/>
    <mergeCell ref="B21:C21"/>
    <mergeCell ref="B20:C20"/>
    <mergeCell ref="A1:C1"/>
    <mergeCell ref="B13:C16"/>
    <mergeCell ref="B10:C11"/>
    <mergeCell ref="B8:C8"/>
    <mergeCell ref="B5:C6"/>
    <mergeCell ref="B2:C3"/>
    <mergeCell ref="B111:C111"/>
    <mergeCell ref="B109:C109"/>
    <mergeCell ref="B106:C107"/>
    <mergeCell ref="B103:C104"/>
    <mergeCell ref="B100:C101"/>
    <mergeCell ref="B50:C51"/>
    <mergeCell ref="B96:C98"/>
    <mergeCell ref="B92:C94"/>
    <mergeCell ref="B89:C90"/>
    <mergeCell ref="B85:C87"/>
    <mergeCell ref="B82:C83"/>
    <mergeCell ref="B79:C80"/>
    <mergeCell ref="B77:C77"/>
    <mergeCell ref="C54:C55"/>
    <mergeCell ref="C61:C62"/>
    <mergeCell ref="C59:C60"/>
    <mergeCell ref="C63:C64"/>
    <mergeCell ref="B74:C75"/>
    <mergeCell ref="B71:C72"/>
    <mergeCell ref="B68:C69"/>
    <mergeCell ref="B66:C66"/>
    <mergeCell ref="B30:C32"/>
    <mergeCell ref="B46:C48"/>
    <mergeCell ref="B42:C44"/>
    <mergeCell ref="B40:C40"/>
    <mergeCell ref="B37:C38"/>
    <mergeCell ref="B34:C35"/>
  </mergeCells>
  <phoneticPr fontId="11" type="noConversion"/>
  <printOptions horizontalCentered="1"/>
  <pageMargins left="0.59055118110236227" right="0.59055118110236227" top="0.98425196850393704" bottom="0.78740157480314965" header="0.31496062992125984" footer="0.31496062992125984"/>
  <pageSetup paperSize="9" scale="90"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7</vt:i4>
      </vt:variant>
    </vt:vector>
  </HeadingPairs>
  <TitlesOfParts>
    <vt:vector size="11" baseType="lpstr">
      <vt:lpstr>현장</vt:lpstr>
      <vt:lpstr>임대인</vt:lpstr>
      <vt:lpstr>임대차계약서</vt:lpstr>
      <vt:lpstr>표준약관</vt:lpstr>
      <vt:lpstr>임대인!Print_Area</vt:lpstr>
      <vt:lpstr>임대차계약서!Print_Area</vt:lpstr>
      <vt:lpstr>현장!Print_Area</vt:lpstr>
      <vt:lpstr>성명</vt:lpstr>
      <vt:lpstr>임대인정보</vt:lpstr>
      <vt:lpstr>현장명</vt:lpstr>
      <vt:lpstr>현장정보</vt:lpstr>
    </vt:vector>
  </TitlesOfParts>
  <Company>MyCompany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hyun jeong lee</cp:lastModifiedBy>
  <cp:lastPrinted>2025-12-22T01:32:53Z</cp:lastPrinted>
  <dcterms:created xsi:type="dcterms:W3CDTF">2018-05-02T03:03:56Z</dcterms:created>
  <dcterms:modified xsi:type="dcterms:W3CDTF">2026-03-09T05:02:26Z</dcterms:modified>
</cp:coreProperties>
</file>